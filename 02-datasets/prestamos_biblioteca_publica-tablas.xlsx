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mos_biblioteca_publica" sheetId="1" r:id="rId5"/>
    <sheet state="visible" name="Copia de Tabla" sheetId="2" r:id="rId6"/>
    <sheet state="visible" name="Copia de Gráficos" sheetId="3" r:id="rId7"/>
  </sheets>
  <definedNames/>
  <calcPr/>
</workbook>
</file>

<file path=xl/sharedStrings.xml><?xml version="1.0" encoding="utf-8"?>
<sst xmlns="http://schemas.openxmlformats.org/spreadsheetml/2006/main" count="3276" uniqueCount="120">
  <si>
    <t>fecha_prestamo</t>
  </si>
  <si>
    <t>categoria_libro</t>
  </si>
  <si>
    <t>idioma</t>
  </si>
  <si>
    <t>duracion_prestamo_dias</t>
  </si>
  <si>
    <t>devuelto_a_tiempo</t>
  </si>
  <si>
    <t>franja_horaria</t>
  </si>
  <si>
    <t>mes</t>
  </si>
  <si>
    <t>dia_semana</t>
  </si>
  <si>
    <t>ficcion</t>
  </si>
  <si>
    <t>español</t>
  </si>
  <si>
    <t>si</t>
  </si>
  <si>
    <t>tarde</t>
  </si>
  <si>
    <t>enero</t>
  </si>
  <si>
    <t>domingo</t>
  </si>
  <si>
    <t>ensayo</t>
  </si>
  <si>
    <t>mañana</t>
  </si>
  <si>
    <t>martes</t>
  </si>
  <si>
    <t>infantil</t>
  </si>
  <si>
    <t>miércoles</t>
  </si>
  <si>
    <t>comic</t>
  </si>
  <si>
    <t>viernes</t>
  </si>
  <si>
    <t>inglés</t>
  </si>
  <si>
    <t>no</t>
  </si>
  <si>
    <t>novela_grafica</t>
  </si>
  <si>
    <t>catalán</t>
  </si>
  <si>
    <t>poesia</t>
  </si>
  <si>
    <t>divulgacion</t>
  </si>
  <si>
    <t>febrero</t>
  </si>
  <si>
    <t>marzo</t>
  </si>
  <si>
    <t>abril</t>
  </si>
  <si>
    <t>mayo</t>
  </si>
  <si>
    <t>junio</t>
  </si>
  <si>
    <t>julio</t>
  </si>
  <si>
    <t>jueves</t>
  </si>
  <si>
    <t>agosto</t>
  </si>
  <si>
    <t>septiembre</t>
  </si>
  <si>
    <t>octubre</t>
  </si>
  <si>
    <t>noviembre</t>
  </si>
  <si>
    <t>diciembre</t>
  </si>
  <si>
    <t>lunes</t>
  </si>
  <si>
    <t>sábado</t>
  </si>
  <si>
    <t>mes_numerado</t>
  </si>
  <si>
    <t>dia_semana_numerado</t>
  </si>
  <si>
    <t>Categorias</t>
  </si>
  <si>
    <t>Prestamos</t>
  </si>
  <si>
    <t>%Préstamos_categoría</t>
  </si>
  <si>
    <t>Días por categoría:</t>
  </si>
  <si>
    <t>Ficción</t>
  </si>
  <si>
    <t>Ensayo</t>
  </si>
  <si>
    <t>Infantil</t>
  </si>
  <si>
    <t>Cómic</t>
  </si>
  <si>
    <t>Poesía</t>
  </si>
  <si>
    <t>Novela gráfica</t>
  </si>
  <si>
    <t>Divulgación</t>
  </si>
  <si>
    <t>Total:</t>
  </si>
  <si>
    <t>Máximo días préstamo:</t>
  </si>
  <si>
    <t>Promedio préstamos</t>
  </si>
  <si>
    <t>Mínimo días préstamo:</t>
  </si>
  <si>
    <t>Ratio de préstamo:</t>
  </si>
  <si>
    <t>Préstamos mañana:</t>
  </si>
  <si>
    <t>Préstamos tarde:</t>
  </si>
  <si>
    <t>Días de la semana:</t>
  </si>
  <si>
    <t>Prestamos:</t>
  </si>
  <si>
    <t>% días:</t>
  </si>
  <si>
    <t>Lunes</t>
  </si>
  <si>
    <t>Martes</t>
  </si>
  <si>
    <t>Miercoles</t>
  </si>
  <si>
    <t>Jueves</t>
  </si>
  <si>
    <t>Viernes</t>
  </si>
  <si>
    <t>Sabado</t>
  </si>
  <si>
    <t>Domingo</t>
  </si>
  <si>
    <t>Meses</t>
  </si>
  <si>
    <t>Préstamos mañana</t>
  </si>
  <si>
    <t>Préstamos tarde</t>
  </si>
  <si>
    <t>Total préstamos: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</si>
  <si>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</si>
  <si>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</si>
  <si>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</si>
  <si>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</si>
  <si>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</si>
  <si>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</si>
  <si>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</si>
  <si>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</si>
  <si>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</si>
  <si>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</si>
  <si>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</si>
  <si>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</si>
  <si>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Español</t>
  </si>
  <si>
    <t>Inglés</t>
  </si>
  <si>
    <t>Catalán</t>
  </si>
  <si>
    <t>Totales:</t>
  </si>
  <si>
    <t>Porcentajes</t>
  </si>
  <si>
    <t>prestamos_mes</t>
  </si>
  <si>
    <t xml:space="preserve">  </t>
  </si>
  <si>
    <t>MAÑANAS</t>
  </si>
  <si>
    <t>dia / mes</t>
  </si>
  <si>
    <t>01_enero</t>
  </si>
  <si>
    <t>02_febrero</t>
  </si>
  <si>
    <t>03_marzo</t>
  </si>
  <si>
    <t>04_abril</t>
  </si>
  <si>
    <t>05_mayo</t>
  </si>
  <si>
    <t>06_junio</t>
  </si>
  <si>
    <t>07_julio</t>
  </si>
  <si>
    <t>08_agosto</t>
  </si>
  <si>
    <t>09_septiembre</t>
  </si>
  <si>
    <t>10_octubre</t>
  </si>
  <si>
    <t>11_noviembre</t>
  </si>
  <si>
    <t>12_diciembre</t>
  </si>
  <si>
    <t>1_lunes</t>
  </si>
  <si>
    <t>2_martes</t>
  </si>
  <si>
    <t>3_miércoles</t>
  </si>
  <si>
    <t>4_jueves</t>
  </si>
  <si>
    <t>5_viernes</t>
  </si>
  <si>
    <t>6_sábado</t>
  </si>
  <si>
    <t>7_domingo</t>
  </si>
  <si>
    <t>TARDES</t>
  </si>
  <si>
    <t>lunes por la mañana ningún registro: quizás pueda estar cerrado o nadie puede ir a por libros</t>
  </si>
  <si>
    <t>martes mañanas solo de julio y agosto</t>
  </si>
  <si>
    <t>miércoles de marzo y de septiembre solo de mañana; julio y agosto día completo</t>
  </si>
  <si>
    <t xml:space="preserve">sábados mañana ningún registro: quizás pueda estar cerrado o quizás nadie puede ir a por libros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</si>
</sst>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b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000000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3" fontId="3" numFmtId="164" xfId="0" applyAlignment="1" applyBorder="1" applyFill="1" applyFont="1" applyNumberFormat="1">
      <alignment horizontal="right"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0" fillId="3" fontId="3" numFmtId="0" xfId="0" applyAlignment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2" xfId="0" applyAlignment="1" applyBorder="1" applyFont="1" applyNumberFormat="1">
      <alignment readingOrder="0" shrinkToFit="0" vertical="center" wrapText="0"/>
    </xf>
    <xf borderId="8" fillId="0" fontId="1" numFmtId="2" xfId="0" applyAlignment="1" applyBorder="1" applyFont="1" applyNumberFormat="1">
      <alignment readingOrder="0" shrinkToFit="0" vertical="center" wrapText="0"/>
    </xf>
    <xf borderId="7" fillId="4" fontId="4" numFmtId="0" xfId="0" applyAlignment="1" applyBorder="1" applyFill="1" applyFont="1">
      <alignment readingOrder="0" shrinkToFit="0" vertical="center" wrapText="0"/>
    </xf>
    <xf borderId="9" fillId="0" fontId="1" numFmtId="2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2" xfId="0" applyAlignment="1" applyBorder="1" applyFont="1" applyNumberFormat="1">
      <alignment shrinkToFit="0" vertical="center" wrapText="0"/>
    </xf>
    <xf borderId="9" fillId="0" fontId="1" numFmtId="2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7" fillId="4" fontId="4" numFmtId="0" xfId="0" applyAlignment="1" applyBorder="1" applyFont="1">
      <alignment readingOrder="0"/>
    </xf>
    <xf borderId="7" fillId="0" fontId="1" numFmtId="165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7" fillId="2" fontId="1" numFmtId="0" xfId="0" applyAlignment="1" applyBorder="1" applyFont="1">
      <alignment shrinkToFit="0" vertical="center" wrapText="0"/>
    </xf>
    <xf borderId="7" fillId="4" fontId="4" numFmtId="0" xfId="0" applyAlignment="1" applyBorder="1" applyFont="1">
      <alignment horizontal="right" readingOrder="0" shrinkToFit="0" vertical="center" wrapText="0"/>
    </xf>
    <xf borderId="7" fillId="2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4" fontId="4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2" fillId="2" fontId="3" numFmtId="164" xfId="0" applyAlignment="1" applyBorder="1" applyFont="1" applyNumberFormat="1">
      <alignment horizontal="right" shrinkToFit="0" vertical="center" wrapText="0"/>
    </xf>
    <xf borderId="13" fillId="2" fontId="3" numFmtId="0" xfId="0" applyAlignment="1" applyBorder="1" applyFont="1">
      <alignment shrinkToFit="0" vertical="center" wrapText="0"/>
    </xf>
    <xf borderId="13" fillId="2" fontId="3" numFmtId="0" xfId="0" applyAlignment="1" applyBorder="1" applyFont="1">
      <alignment horizontal="right" shrinkToFit="0" vertical="center" wrapText="0"/>
    </xf>
    <xf borderId="14" fillId="2" fontId="3" numFmtId="0" xfId="0" applyAlignment="1" applyBorder="1" applyFont="1">
      <alignment shrinkToFit="0" vertical="center" wrapText="0"/>
    </xf>
    <xf borderId="15" fillId="2" fontId="3" numFmtId="0" xfId="0" applyAlignment="1" applyBorder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6">
    <tableStyle count="4" pivot="0" name="Copia de Tab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Tab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Tabl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pia de Tabla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pia de Tabla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Tabla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</xdr:row>
      <xdr:rowOff>0</xdr:rowOff>
    </xdr:from>
    <xdr:ext cx="5715000" cy="3533775"/>
    <xdr:pic>
      <xdr:nvPicPr>
        <xdr:cNvPr id="154510720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39</xdr:row>
      <xdr:rowOff>142875</xdr:rowOff>
    </xdr:from>
    <xdr:ext cx="5715000" cy="3076575"/>
    <xdr:pic>
      <xdr:nvPicPr>
        <xdr:cNvPr id="195684865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733425</xdr:colOff>
      <xdr:row>39</xdr:row>
      <xdr:rowOff>142875</xdr:rowOff>
    </xdr:from>
    <xdr:ext cx="6296025" cy="3076575"/>
    <xdr:pic>
      <xdr:nvPicPr>
        <xdr:cNvPr id="17574898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62" displayName="Tabla_original" name="Tabla_original" id="1">
  <tableColumns count="10">
    <tableColumn name="fecha_prestamo" id="1"/>
    <tableColumn name="categoria_libro" id="2"/>
    <tableColumn name="idioma" id="3"/>
    <tableColumn name="duracion_prestamo_dias" id="4"/>
    <tableColumn name="devuelto_a_tiempo" id="5"/>
    <tableColumn name="franja_horaria" id="6"/>
    <tableColumn name="mes" id="7"/>
    <tableColumn name="mes_numerado" id="8"/>
    <tableColumn name="dia_semana" id="9"/>
    <tableColumn name="dia_semana_numerado" id="10"/>
  </tableColumns>
  <tableStyleInfo name="Copia de Tabla-style" showColumnStripes="0" showFirstColumn="1" showLastColumn="1" showRowStripes="1"/>
</table>
</file>

<file path=xl/tables/table2.xml><?xml version="1.0" encoding="utf-8"?>
<table xmlns="http://schemas.openxmlformats.org/spreadsheetml/2006/main" ref="L4:O14" displayName="Préstamos_categoría" name="Préstamos_categoría" id="2">
  <tableColumns count="4">
    <tableColumn name="Categorias" id="1"/>
    <tableColumn name="Prestamos" id="2"/>
    <tableColumn name="%Préstamos_categoría" id="3"/>
    <tableColumn name="Días por categoría:" id="4"/>
  </tableColumns>
  <tableStyleInfo name="Copia de Tabla-style 2" showColumnStripes="0" showFirstColumn="1" showLastColumn="1" showRowStripes="1"/>
</table>
</file>

<file path=xl/tables/table3.xml><?xml version="1.0" encoding="utf-8"?>
<table xmlns="http://schemas.openxmlformats.org/spreadsheetml/2006/main" ref="L21:N28" displayName="Préstamos_día" name="Préstamos_día" id="3">
  <tableColumns count="3">
    <tableColumn name="Días de la semana:" id="1"/>
    <tableColumn name="Prestamos:" id="2"/>
    <tableColumn name="% días:" id="3"/>
  </tableColumns>
  <tableStyleInfo name="Copia de Tabla-style 3" showColumnStripes="0" showFirstColumn="1" showLastColumn="1" showRowStripes="1"/>
</table>
</file>

<file path=xl/tables/table4.xml><?xml version="1.0" encoding="utf-8"?>
<table xmlns="http://schemas.openxmlformats.org/spreadsheetml/2006/main" totalsRowCount="1" ref="L31:O44" displayName="Préstamos_meses" name="Préstamos_meses" id="4">
  <tableColumns count="4">
    <tableColumn name="Meses" id="1"/>
    <tableColumn name="Préstamos mañana" id="2"/>
    <tableColumn totalsRowLabel="Total:" name="Préstamos tarde" id="3"/>
    <tableColumn totalsRowFunction="custom" name="Total préstamos:" id="4"/>
  </tableColumns>
  <tableStyleInfo name="Copia de Tabla-style 4" showColumnStripes="0" showFirstColumn="1" showLastColumn="1" showRowStripes="1"/>
</table>
</file>

<file path=xl/tables/table5.xml><?xml version="1.0" encoding="utf-8"?>
<table xmlns="http://schemas.openxmlformats.org/spreadsheetml/2006/main" ref="L48:O57" displayName="Préstamos_idioma" name="Préstamos_idioma" id="5">
  <tableColumns count="4">
    <tableColumn name="categoria_libro" id="1"/>
    <tableColumn name="Español" id="2"/>
    <tableColumn name="Inglés" id="3"/>
    <tableColumn name="Catalán" id="4"/>
  </tableColumns>
  <tableStyleInfo name="Copia de Tabla-style 5" showColumnStripes="0" showFirstColumn="1" showLastColumn="1" showRowStripes="1"/>
</table>
</file>

<file path=xl/tables/table6.xml><?xml version="1.0" encoding="utf-8"?>
<table xmlns="http://schemas.openxmlformats.org/spreadsheetml/2006/main" ref="L59:T71" displayName="Préstamos_mes_categoría" name="Préstamos_mes_categoría" id="6">
  <tableColumns count="9">
    <tableColumn name="mes" id="1"/>
    <tableColumn name="prestamos_mes" id="2"/>
    <tableColumn name="ficcion" id="3"/>
    <tableColumn name="ensayo" id="4"/>
    <tableColumn name="infantil" id="5"/>
    <tableColumn name="comic" id="6"/>
    <tableColumn name="novela_grafica" id="7"/>
    <tableColumn name="poesia" id="8"/>
    <tableColumn name="divulgacion" id="9"/>
  </tableColumns>
  <tableStyleInfo name="Copia de Tabla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45662.0</v>
      </c>
      <c r="B2" s="1" t="s">
        <v>8</v>
      </c>
      <c r="C2" s="1" t="s">
        <v>9</v>
      </c>
      <c r="D2" s="1">
        <v>14.0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2">
        <v>45664.0</v>
      </c>
      <c r="B3" s="1" t="s">
        <v>14</v>
      </c>
      <c r="C3" s="1" t="s">
        <v>9</v>
      </c>
      <c r="D3" s="1">
        <v>21.0</v>
      </c>
      <c r="E3" s="1" t="s">
        <v>10</v>
      </c>
      <c r="F3" s="1" t="s">
        <v>15</v>
      </c>
      <c r="G3" s="1" t="s">
        <v>12</v>
      </c>
      <c r="H3" s="1" t="s">
        <v>16</v>
      </c>
    </row>
    <row r="4">
      <c r="A4" s="2">
        <v>45665.0</v>
      </c>
      <c r="B4" s="1" t="s">
        <v>17</v>
      </c>
      <c r="C4" s="1" t="s">
        <v>9</v>
      </c>
      <c r="D4" s="1">
        <v>10.0</v>
      </c>
      <c r="E4" s="1" t="s">
        <v>10</v>
      </c>
      <c r="F4" s="1" t="s">
        <v>11</v>
      </c>
      <c r="G4" s="1" t="s">
        <v>12</v>
      </c>
      <c r="H4" s="1" t="s">
        <v>18</v>
      </c>
    </row>
    <row r="5">
      <c r="A5" s="2">
        <v>45667.0</v>
      </c>
      <c r="B5" s="1" t="s">
        <v>19</v>
      </c>
      <c r="C5" s="1" t="s">
        <v>9</v>
      </c>
      <c r="D5" s="1">
        <v>7.0</v>
      </c>
      <c r="E5" s="1" t="s">
        <v>10</v>
      </c>
      <c r="F5" s="1" t="s">
        <v>11</v>
      </c>
      <c r="G5" s="1" t="s">
        <v>12</v>
      </c>
      <c r="H5" s="1" t="s">
        <v>20</v>
      </c>
    </row>
    <row r="6">
      <c r="A6" s="2">
        <v>45669.0</v>
      </c>
      <c r="B6" s="1" t="s">
        <v>8</v>
      </c>
      <c r="C6" s="1" t="s">
        <v>21</v>
      </c>
      <c r="D6" s="1">
        <v>15.0</v>
      </c>
      <c r="E6" s="1" t="s">
        <v>22</v>
      </c>
      <c r="F6" s="1" t="s">
        <v>15</v>
      </c>
      <c r="G6" s="1" t="s">
        <v>12</v>
      </c>
      <c r="H6" s="1" t="s">
        <v>13</v>
      </c>
    </row>
    <row r="7">
      <c r="A7" s="2">
        <v>45671.0</v>
      </c>
      <c r="B7" s="1" t="s">
        <v>8</v>
      </c>
      <c r="C7" s="1" t="s">
        <v>9</v>
      </c>
      <c r="D7" s="1">
        <v>14.0</v>
      </c>
      <c r="E7" s="1" t="s">
        <v>10</v>
      </c>
      <c r="F7" s="1" t="s">
        <v>11</v>
      </c>
      <c r="G7" s="1" t="s">
        <v>12</v>
      </c>
      <c r="H7" s="1" t="s">
        <v>16</v>
      </c>
    </row>
    <row r="8">
      <c r="A8" s="2">
        <v>45672.0</v>
      </c>
      <c r="B8" s="1" t="s">
        <v>23</v>
      </c>
      <c r="C8" s="1" t="s">
        <v>9</v>
      </c>
      <c r="D8" s="1">
        <v>18.0</v>
      </c>
      <c r="E8" s="1" t="s">
        <v>10</v>
      </c>
      <c r="F8" s="1" t="s">
        <v>15</v>
      </c>
      <c r="G8" s="1" t="s">
        <v>12</v>
      </c>
      <c r="H8" s="1" t="s">
        <v>18</v>
      </c>
    </row>
    <row r="9">
      <c r="A9" s="2">
        <v>45674.0</v>
      </c>
      <c r="B9" s="1" t="s">
        <v>14</v>
      </c>
      <c r="C9" s="1" t="s">
        <v>24</v>
      </c>
      <c r="D9" s="1">
        <v>25.0</v>
      </c>
      <c r="E9" s="1" t="s">
        <v>10</v>
      </c>
      <c r="F9" s="1" t="s">
        <v>11</v>
      </c>
      <c r="G9" s="1" t="s">
        <v>12</v>
      </c>
      <c r="H9" s="1" t="s">
        <v>20</v>
      </c>
    </row>
    <row r="10">
      <c r="A10" s="2">
        <v>45676.0</v>
      </c>
      <c r="B10" s="1" t="s">
        <v>17</v>
      </c>
      <c r="C10" s="1" t="s">
        <v>9</v>
      </c>
      <c r="D10" s="1">
        <v>8.0</v>
      </c>
      <c r="E10" s="1" t="s">
        <v>10</v>
      </c>
      <c r="F10" s="1" t="s">
        <v>11</v>
      </c>
      <c r="G10" s="1" t="s">
        <v>12</v>
      </c>
      <c r="H10" s="1" t="s">
        <v>13</v>
      </c>
    </row>
    <row r="11">
      <c r="A11" s="2">
        <v>45678.0</v>
      </c>
      <c r="B11" s="1" t="s">
        <v>8</v>
      </c>
      <c r="C11" s="1" t="s">
        <v>9</v>
      </c>
      <c r="D11" s="1">
        <v>14.0</v>
      </c>
      <c r="E11" s="1" t="s">
        <v>10</v>
      </c>
      <c r="F11" s="1" t="s">
        <v>15</v>
      </c>
      <c r="G11" s="1" t="s">
        <v>12</v>
      </c>
      <c r="H11" s="1" t="s">
        <v>16</v>
      </c>
    </row>
    <row r="12">
      <c r="A12" s="2">
        <v>45679.0</v>
      </c>
      <c r="B12" s="1" t="s">
        <v>25</v>
      </c>
      <c r="C12" s="1" t="s">
        <v>9</v>
      </c>
      <c r="D12" s="1">
        <v>30.0</v>
      </c>
      <c r="E12" s="1" t="s">
        <v>22</v>
      </c>
      <c r="F12" s="1" t="s">
        <v>11</v>
      </c>
      <c r="G12" s="1" t="s">
        <v>12</v>
      </c>
      <c r="H12" s="1" t="s">
        <v>18</v>
      </c>
    </row>
    <row r="13">
      <c r="A13" s="2">
        <v>45681.0</v>
      </c>
      <c r="B13" s="1" t="s">
        <v>8</v>
      </c>
      <c r="C13" s="1" t="s">
        <v>21</v>
      </c>
      <c r="D13" s="1">
        <v>14.0</v>
      </c>
      <c r="E13" s="1" t="s">
        <v>10</v>
      </c>
      <c r="F13" s="1" t="s">
        <v>11</v>
      </c>
      <c r="G13" s="1" t="s">
        <v>12</v>
      </c>
      <c r="H13" s="1" t="s">
        <v>20</v>
      </c>
    </row>
    <row r="14">
      <c r="A14" s="2">
        <v>45683.0</v>
      </c>
      <c r="B14" s="1" t="s">
        <v>19</v>
      </c>
      <c r="C14" s="1" t="s">
        <v>9</v>
      </c>
      <c r="D14" s="1">
        <v>7.0</v>
      </c>
      <c r="E14" s="1" t="s">
        <v>10</v>
      </c>
      <c r="F14" s="1" t="s">
        <v>15</v>
      </c>
      <c r="G14" s="1" t="s">
        <v>12</v>
      </c>
      <c r="H14" s="1" t="s">
        <v>13</v>
      </c>
    </row>
    <row r="15">
      <c r="A15" s="2">
        <v>45685.0</v>
      </c>
      <c r="B15" s="1" t="s">
        <v>8</v>
      </c>
      <c r="C15" s="1" t="s">
        <v>9</v>
      </c>
      <c r="D15" s="1">
        <v>16.0</v>
      </c>
      <c r="E15" s="1" t="s">
        <v>10</v>
      </c>
      <c r="F15" s="1" t="s">
        <v>11</v>
      </c>
      <c r="G15" s="1" t="s">
        <v>12</v>
      </c>
      <c r="H15" s="1" t="s">
        <v>16</v>
      </c>
    </row>
    <row r="16">
      <c r="A16" s="2">
        <v>45686.0</v>
      </c>
      <c r="B16" s="1" t="s">
        <v>17</v>
      </c>
      <c r="C16" s="1" t="s">
        <v>9</v>
      </c>
      <c r="D16" s="1">
        <v>9.0</v>
      </c>
      <c r="E16" s="1" t="s">
        <v>10</v>
      </c>
      <c r="F16" s="1" t="s">
        <v>11</v>
      </c>
      <c r="G16" s="1" t="s">
        <v>12</v>
      </c>
      <c r="H16" s="1" t="s">
        <v>18</v>
      </c>
    </row>
    <row r="17">
      <c r="A17" s="2">
        <v>45688.0</v>
      </c>
      <c r="B17" s="1" t="s">
        <v>26</v>
      </c>
      <c r="C17" s="1" t="s">
        <v>9</v>
      </c>
      <c r="D17" s="1">
        <v>21.0</v>
      </c>
      <c r="E17" s="1" t="s">
        <v>10</v>
      </c>
      <c r="F17" s="1" t="s">
        <v>15</v>
      </c>
      <c r="G17" s="1" t="s">
        <v>12</v>
      </c>
      <c r="H17" s="1" t="s">
        <v>20</v>
      </c>
    </row>
    <row r="18">
      <c r="A18" s="2">
        <v>45690.0</v>
      </c>
      <c r="B18" s="1" t="s">
        <v>8</v>
      </c>
      <c r="C18" s="1" t="s">
        <v>9</v>
      </c>
      <c r="D18" s="1">
        <v>14.0</v>
      </c>
      <c r="E18" s="1" t="s">
        <v>10</v>
      </c>
      <c r="F18" s="1" t="s">
        <v>11</v>
      </c>
      <c r="G18" s="1" t="s">
        <v>27</v>
      </c>
      <c r="H18" s="1" t="s">
        <v>13</v>
      </c>
    </row>
    <row r="19">
      <c r="A19" s="2">
        <v>45692.0</v>
      </c>
      <c r="B19" s="1" t="s">
        <v>17</v>
      </c>
      <c r="C19" s="1" t="s">
        <v>24</v>
      </c>
      <c r="D19" s="1">
        <v>12.0</v>
      </c>
      <c r="E19" s="1" t="s">
        <v>10</v>
      </c>
      <c r="F19" s="1" t="s">
        <v>11</v>
      </c>
      <c r="G19" s="1" t="s">
        <v>27</v>
      </c>
      <c r="H19" s="1" t="s">
        <v>16</v>
      </c>
    </row>
    <row r="20">
      <c r="A20" s="2">
        <v>45693.0</v>
      </c>
      <c r="B20" s="1" t="s">
        <v>8</v>
      </c>
      <c r="C20" s="1" t="s">
        <v>9</v>
      </c>
      <c r="D20" s="1">
        <v>14.0</v>
      </c>
      <c r="E20" s="1" t="s">
        <v>10</v>
      </c>
      <c r="F20" s="1" t="s">
        <v>15</v>
      </c>
      <c r="G20" s="1" t="s">
        <v>27</v>
      </c>
      <c r="H20" s="1" t="s">
        <v>18</v>
      </c>
    </row>
    <row r="21">
      <c r="A21" s="2">
        <v>45695.0</v>
      </c>
      <c r="B21" s="1" t="s">
        <v>14</v>
      </c>
      <c r="C21" s="1" t="s">
        <v>9</v>
      </c>
      <c r="D21" s="1">
        <v>28.0</v>
      </c>
      <c r="E21" s="1" t="s">
        <v>22</v>
      </c>
      <c r="F21" s="1" t="s">
        <v>11</v>
      </c>
      <c r="G21" s="1" t="s">
        <v>27</v>
      </c>
      <c r="H21" s="1" t="s">
        <v>20</v>
      </c>
    </row>
    <row r="22">
      <c r="A22" s="2">
        <v>45697.0</v>
      </c>
      <c r="B22" s="1" t="s">
        <v>19</v>
      </c>
      <c r="C22" s="1" t="s">
        <v>9</v>
      </c>
      <c r="D22" s="1">
        <v>7.0</v>
      </c>
      <c r="E22" s="1" t="s">
        <v>10</v>
      </c>
      <c r="F22" s="1" t="s">
        <v>11</v>
      </c>
      <c r="G22" s="1" t="s">
        <v>27</v>
      </c>
      <c r="H22" s="1" t="s">
        <v>13</v>
      </c>
    </row>
    <row r="23">
      <c r="A23" s="2">
        <v>45699.0</v>
      </c>
      <c r="B23" s="1" t="s">
        <v>8</v>
      </c>
      <c r="C23" s="1" t="s">
        <v>21</v>
      </c>
      <c r="D23" s="1">
        <v>14.0</v>
      </c>
      <c r="E23" s="1" t="s">
        <v>10</v>
      </c>
      <c r="F23" s="1" t="s">
        <v>15</v>
      </c>
      <c r="G23" s="1" t="s">
        <v>27</v>
      </c>
      <c r="H23" s="1" t="s">
        <v>16</v>
      </c>
    </row>
    <row r="24">
      <c r="A24" s="2">
        <v>45700.0</v>
      </c>
      <c r="B24" s="1" t="s">
        <v>17</v>
      </c>
      <c r="C24" s="1" t="s">
        <v>9</v>
      </c>
      <c r="D24" s="1">
        <v>10.0</v>
      </c>
      <c r="E24" s="1" t="s">
        <v>10</v>
      </c>
      <c r="F24" s="1" t="s">
        <v>11</v>
      </c>
      <c r="G24" s="1" t="s">
        <v>27</v>
      </c>
      <c r="H24" s="1" t="s">
        <v>18</v>
      </c>
    </row>
    <row r="25">
      <c r="A25" s="2">
        <v>45702.0</v>
      </c>
      <c r="B25" s="1" t="s">
        <v>8</v>
      </c>
      <c r="C25" s="1" t="s">
        <v>9</v>
      </c>
      <c r="D25" s="1">
        <v>14.0</v>
      </c>
      <c r="E25" s="1" t="s">
        <v>10</v>
      </c>
      <c r="F25" s="1" t="s">
        <v>11</v>
      </c>
      <c r="G25" s="1" t="s">
        <v>27</v>
      </c>
      <c r="H25" s="1" t="s">
        <v>20</v>
      </c>
    </row>
    <row r="26">
      <c r="A26" s="2">
        <v>45704.0</v>
      </c>
      <c r="B26" s="1" t="s">
        <v>23</v>
      </c>
      <c r="C26" s="1" t="s">
        <v>9</v>
      </c>
      <c r="D26" s="1">
        <v>21.0</v>
      </c>
      <c r="E26" s="1" t="s">
        <v>10</v>
      </c>
      <c r="F26" s="1" t="s">
        <v>15</v>
      </c>
      <c r="G26" s="1" t="s">
        <v>27</v>
      </c>
      <c r="H26" s="1" t="s">
        <v>13</v>
      </c>
    </row>
    <row r="27">
      <c r="A27" s="2">
        <v>45706.0</v>
      </c>
      <c r="B27" s="1" t="s">
        <v>14</v>
      </c>
      <c r="C27" s="1" t="s">
        <v>9</v>
      </c>
      <c r="D27" s="1">
        <v>23.0</v>
      </c>
      <c r="E27" s="1" t="s">
        <v>10</v>
      </c>
      <c r="F27" s="1" t="s">
        <v>11</v>
      </c>
      <c r="G27" s="1" t="s">
        <v>27</v>
      </c>
      <c r="H27" s="1" t="s">
        <v>16</v>
      </c>
    </row>
    <row r="28">
      <c r="A28" s="2">
        <v>45707.0</v>
      </c>
      <c r="B28" s="1" t="s">
        <v>8</v>
      </c>
      <c r="C28" s="1" t="s">
        <v>9</v>
      </c>
      <c r="D28" s="1">
        <v>15.0</v>
      </c>
      <c r="E28" s="1" t="s">
        <v>10</v>
      </c>
      <c r="F28" s="1" t="s">
        <v>11</v>
      </c>
      <c r="G28" s="1" t="s">
        <v>27</v>
      </c>
      <c r="H28" s="1" t="s">
        <v>18</v>
      </c>
    </row>
    <row r="29">
      <c r="A29" s="2">
        <v>45709.0</v>
      </c>
      <c r="B29" s="1" t="s">
        <v>17</v>
      </c>
      <c r="C29" s="1" t="s">
        <v>9</v>
      </c>
      <c r="D29" s="1">
        <v>11.0</v>
      </c>
      <c r="E29" s="1" t="s">
        <v>10</v>
      </c>
      <c r="F29" s="1" t="s">
        <v>15</v>
      </c>
      <c r="G29" s="1" t="s">
        <v>27</v>
      </c>
      <c r="H29" s="1" t="s">
        <v>20</v>
      </c>
    </row>
    <row r="30">
      <c r="A30" s="2">
        <v>45711.0</v>
      </c>
      <c r="B30" s="1" t="s">
        <v>8</v>
      </c>
      <c r="C30" s="1" t="s">
        <v>24</v>
      </c>
      <c r="D30" s="1">
        <v>14.0</v>
      </c>
      <c r="E30" s="1" t="s">
        <v>10</v>
      </c>
      <c r="F30" s="1" t="s">
        <v>11</v>
      </c>
      <c r="G30" s="1" t="s">
        <v>27</v>
      </c>
      <c r="H30" s="1" t="s">
        <v>13</v>
      </c>
    </row>
    <row r="31">
      <c r="A31" s="2">
        <v>45713.0</v>
      </c>
      <c r="B31" s="1" t="s">
        <v>19</v>
      </c>
      <c r="C31" s="1" t="s">
        <v>9</v>
      </c>
      <c r="D31" s="1">
        <v>7.0</v>
      </c>
      <c r="E31" s="1" t="s">
        <v>10</v>
      </c>
      <c r="F31" s="1" t="s">
        <v>11</v>
      </c>
      <c r="G31" s="1" t="s">
        <v>27</v>
      </c>
      <c r="H31" s="1" t="s">
        <v>16</v>
      </c>
    </row>
    <row r="32">
      <c r="A32" s="2">
        <v>45714.0</v>
      </c>
      <c r="B32" s="1" t="s">
        <v>26</v>
      </c>
      <c r="C32" s="1" t="s">
        <v>21</v>
      </c>
      <c r="D32" s="1">
        <v>25.0</v>
      </c>
      <c r="E32" s="1" t="s">
        <v>10</v>
      </c>
      <c r="F32" s="1" t="s">
        <v>15</v>
      </c>
      <c r="G32" s="1" t="s">
        <v>27</v>
      </c>
      <c r="H32" s="1" t="s">
        <v>18</v>
      </c>
    </row>
    <row r="33">
      <c r="A33" s="2">
        <v>45716.0</v>
      </c>
      <c r="B33" s="1" t="s">
        <v>8</v>
      </c>
      <c r="C33" s="1" t="s">
        <v>9</v>
      </c>
      <c r="D33" s="1">
        <v>14.0</v>
      </c>
      <c r="E33" s="1" t="s">
        <v>10</v>
      </c>
      <c r="F33" s="1" t="s">
        <v>11</v>
      </c>
      <c r="G33" s="1" t="s">
        <v>27</v>
      </c>
      <c r="H33" s="1" t="s">
        <v>20</v>
      </c>
    </row>
    <row r="34">
      <c r="A34" s="2">
        <v>45718.0</v>
      </c>
      <c r="B34" s="1" t="s">
        <v>17</v>
      </c>
      <c r="C34" s="1" t="s">
        <v>9</v>
      </c>
      <c r="D34" s="1">
        <v>9.0</v>
      </c>
      <c r="E34" s="1" t="s">
        <v>10</v>
      </c>
      <c r="F34" s="1" t="s">
        <v>11</v>
      </c>
      <c r="G34" s="1" t="s">
        <v>28</v>
      </c>
      <c r="H34" s="1" t="s">
        <v>13</v>
      </c>
    </row>
    <row r="35">
      <c r="A35" s="2">
        <v>45720.0</v>
      </c>
      <c r="B35" s="1" t="s">
        <v>8</v>
      </c>
      <c r="C35" s="1" t="s">
        <v>9</v>
      </c>
      <c r="D35" s="1">
        <v>14.0</v>
      </c>
      <c r="E35" s="1" t="s">
        <v>10</v>
      </c>
      <c r="F35" s="1" t="s">
        <v>15</v>
      </c>
      <c r="G35" s="1" t="s">
        <v>28</v>
      </c>
      <c r="H35" s="1" t="s">
        <v>16</v>
      </c>
    </row>
    <row r="36">
      <c r="A36" s="2">
        <v>45721.0</v>
      </c>
      <c r="B36" s="1" t="s">
        <v>14</v>
      </c>
      <c r="C36" s="1" t="s">
        <v>9</v>
      </c>
      <c r="D36" s="1">
        <v>22.0</v>
      </c>
      <c r="E36" s="1" t="s">
        <v>10</v>
      </c>
      <c r="F36" s="1" t="s">
        <v>11</v>
      </c>
      <c r="G36" s="1" t="s">
        <v>28</v>
      </c>
      <c r="H36" s="1" t="s">
        <v>18</v>
      </c>
    </row>
    <row r="37">
      <c r="A37" s="2">
        <v>45723.0</v>
      </c>
      <c r="B37" s="1" t="s">
        <v>8</v>
      </c>
      <c r="C37" s="1" t="s">
        <v>21</v>
      </c>
      <c r="D37" s="1">
        <v>17.0</v>
      </c>
      <c r="E37" s="1" t="s">
        <v>22</v>
      </c>
      <c r="F37" s="1" t="s">
        <v>11</v>
      </c>
      <c r="G37" s="1" t="s">
        <v>28</v>
      </c>
      <c r="H37" s="1" t="s">
        <v>20</v>
      </c>
    </row>
    <row r="38">
      <c r="A38" s="2">
        <v>45725.0</v>
      </c>
      <c r="B38" s="1" t="s">
        <v>19</v>
      </c>
      <c r="C38" s="1" t="s">
        <v>9</v>
      </c>
      <c r="D38" s="1">
        <v>7.0</v>
      </c>
      <c r="E38" s="1" t="s">
        <v>10</v>
      </c>
      <c r="F38" s="1" t="s">
        <v>15</v>
      </c>
      <c r="G38" s="1" t="s">
        <v>28</v>
      </c>
      <c r="H38" s="1" t="s">
        <v>13</v>
      </c>
    </row>
    <row r="39">
      <c r="A39" s="2">
        <v>45727.0</v>
      </c>
      <c r="B39" s="1" t="s">
        <v>17</v>
      </c>
      <c r="C39" s="1" t="s">
        <v>24</v>
      </c>
      <c r="D39" s="1">
        <v>10.0</v>
      </c>
      <c r="E39" s="1" t="s">
        <v>10</v>
      </c>
      <c r="F39" s="1" t="s">
        <v>11</v>
      </c>
      <c r="G39" s="1" t="s">
        <v>28</v>
      </c>
      <c r="H39" s="1" t="s">
        <v>16</v>
      </c>
    </row>
    <row r="40">
      <c r="A40" s="2">
        <v>45728.0</v>
      </c>
      <c r="B40" s="1" t="s">
        <v>8</v>
      </c>
      <c r="C40" s="1" t="s">
        <v>9</v>
      </c>
      <c r="D40" s="1">
        <v>14.0</v>
      </c>
      <c r="E40" s="1" t="s">
        <v>10</v>
      </c>
      <c r="F40" s="1" t="s">
        <v>11</v>
      </c>
      <c r="G40" s="1" t="s">
        <v>28</v>
      </c>
      <c r="H40" s="1" t="s">
        <v>18</v>
      </c>
    </row>
    <row r="41">
      <c r="A41" s="2">
        <v>45730.0</v>
      </c>
      <c r="B41" s="1" t="s">
        <v>25</v>
      </c>
      <c r="C41" s="1" t="s">
        <v>9</v>
      </c>
      <c r="D41" s="1">
        <v>35.0</v>
      </c>
      <c r="E41" s="1" t="s">
        <v>22</v>
      </c>
      <c r="F41" s="1" t="s">
        <v>15</v>
      </c>
      <c r="G41" s="1" t="s">
        <v>28</v>
      </c>
      <c r="H41" s="1" t="s">
        <v>20</v>
      </c>
    </row>
    <row r="42">
      <c r="A42" s="2">
        <v>45732.0</v>
      </c>
      <c r="B42" s="1" t="s">
        <v>8</v>
      </c>
      <c r="C42" s="1" t="s">
        <v>9</v>
      </c>
      <c r="D42" s="1">
        <v>14.0</v>
      </c>
      <c r="E42" s="1" t="s">
        <v>10</v>
      </c>
      <c r="F42" s="1" t="s">
        <v>11</v>
      </c>
      <c r="G42" s="1" t="s">
        <v>28</v>
      </c>
      <c r="H42" s="1" t="s">
        <v>13</v>
      </c>
    </row>
    <row r="43">
      <c r="A43" s="2">
        <v>45734.0</v>
      </c>
      <c r="B43" s="1" t="s">
        <v>23</v>
      </c>
      <c r="C43" s="1" t="s">
        <v>9</v>
      </c>
      <c r="D43" s="1">
        <v>19.0</v>
      </c>
      <c r="E43" s="1" t="s">
        <v>10</v>
      </c>
      <c r="F43" s="1" t="s">
        <v>15</v>
      </c>
      <c r="G43" s="1" t="s">
        <v>28</v>
      </c>
      <c r="H43" s="1" t="s">
        <v>16</v>
      </c>
    </row>
    <row r="44">
      <c r="A44" s="2">
        <v>45735.0</v>
      </c>
      <c r="B44" s="1" t="s">
        <v>8</v>
      </c>
      <c r="C44" s="1" t="s">
        <v>9</v>
      </c>
      <c r="D44" s="1">
        <v>14.0</v>
      </c>
      <c r="E44" s="1" t="s">
        <v>10</v>
      </c>
      <c r="F44" s="1" t="s">
        <v>11</v>
      </c>
      <c r="G44" s="1" t="s">
        <v>28</v>
      </c>
      <c r="H44" s="1" t="s">
        <v>18</v>
      </c>
    </row>
    <row r="45">
      <c r="A45" s="2">
        <v>45737.0</v>
      </c>
      <c r="B45" s="1" t="s">
        <v>17</v>
      </c>
      <c r="C45" s="1" t="s">
        <v>9</v>
      </c>
      <c r="D45" s="1">
        <v>8.0</v>
      </c>
      <c r="E45" s="1" t="s">
        <v>10</v>
      </c>
      <c r="F45" s="1" t="s">
        <v>11</v>
      </c>
      <c r="G45" s="1" t="s">
        <v>28</v>
      </c>
      <c r="H45" s="1" t="s">
        <v>20</v>
      </c>
    </row>
    <row r="46">
      <c r="A46" s="2">
        <v>45739.0</v>
      </c>
      <c r="B46" s="1" t="s">
        <v>14</v>
      </c>
      <c r="C46" s="1" t="s">
        <v>9</v>
      </c>
      <c r="D46" s="1">
        <v>21.0</v>
      </c>
      <c r="E46" s="1" t="s">
        <v>10</v>
      </c>
      <c r="F46" s="1" t="s">
        <v>15</v>
      </c>
      <c r="G46" s="1" t="s">
        <v>28</v>
      </c>
      <c r="H46" s="1" t="s">
        <v>13</v>
      </c>
    </row>
    <row r="47">
      <c r="A47" s="2">
        <v>45741.0</v>
      </c>
      <c r="B47" s="1" t="s">
        <v>8</v>
      </c>
      <c r="C47" s="1" t="s">
        <v>24</v>
      </c>
      <c r="D47" s="1">
        <v>14.0</v>
      </c>
      <c r="E47" s="1" t="s">
        <v>10</v>
      </c>
      <c r="F47" s="1" t="s">
        <v>11</v>
      </c>
      <c r="G47" s="1" t="s">
        <v>28</v>
      </c>
      <c r="H47" s="1" t="s">
        <v>16</v>
      </c>
    </row>
    <row r="48">
      <c r="A48" s="2">
        <v>45742.0</v>
      </c>
      <c r="B48" s="1" t="s">
        <v>19</v>
      </c>
      <c r="C48" s="1" t="s">
        <v>9</v>
      </c>
      <c r="D48" s="1">
        <v>7.0</v>
      </c>
      <c r="E48" s="1" t="s">
        <v>10</v>
      </c>
      <c r="F48" s="1" t="s">
        <v>11</v>
      </c>
      <c r="G48" s="1" t="s">
        <v>28</v>
      </c>
      <c r="H48" s="1" t="s">
        <v>18</v>
      </c>
    </row>
    <row r="49">
      <c r="A49" s="2">
        <v>45744.0</v>
      </c>
      <c r="B49" s="1" t="s">
        <v>8</v>
      </c>
      <c r="C49" s="1" t="s">
        <v>9</v>
      </c>
      <c r="D49" s="1">
        <v>15.0</v>
      </c>
      <c r="E49" s="1" t="s">
        <v>10</v>
      </c>
      <c r="F49" s="1" t="s">
        <v>15</v>
      </c>
      <c r="G49" s="1" t="s">
        <v>28</v>
      </c>
      <c r="H49" s="1" t="s">
        <v>20</v>
      </c>
    </row>
    <row r="50">
      <c r="A50" s="2">
        <v>45746.0</v>
      </c>
      <c r="B50" s="1" t="s">
        <v>26</v>
      </c>
      <c r="C50" s="1" t="s">
        <v>9</v>
      </c>
      <c r="D50" s="1">
        <v>24.0</v>
      </c>
      <c r="E50" s="1" t="s">
        <v>10</v>
      </c>
      <c r="F50" s="1" t="s">
        <v>11</v>
      </c>
      <c r="G50" s="1" t="s">
        <v>28</v>
      </c>
      <c r="H50" s="1" t="s">
        <v>13</v>
      </c>
    </row>
    <row r="51">
      <c r="A51" s="2">
        <v>45748.0</v>
      </c>
      <c r="B51" s="1" t="s">
        <v>8</v>
      </c>
      <c r="C51" s="1" t="s">
        <v>9</v>
      </c>
      <c r="D51" s="1">
        <v>14.0</v>
      </c>
      <c r="E51" s="1" t="s">
        <v>10</v>
      </c>
      <c r="F51" s="1" t="s">
        <v>11</v>
      </c>
      <c r="G51" s="1" t="s">
        <v>29</v>
      </c>
      <c r="H51" s="1" t="s">
        <v>16</v>
      </c>
    </row>
    <row r="52">
      <c r="A52" s="2">
        <v>45749.0</v>
      </c>
      <c r="B52" s="1" t="s">
        <v>17</v>
      </c>
      <c r="C52" s="1" t="s">
        <v>9</v>
      </c>
      <c r="D52" s="1">
        <v>10.0</v>
      </c>
      <c r="E52" s="1" t="s">
        <v>10</v>
      </c>
      <c r="F52" s="1" t="s">
        <v>11</v>
      </c>
      <c r="G52" s="1" t="s">
        <v>29</v>
      </c>
      <c r="H52" s="1" t="s">
        <v>18</v>
      </c>
    </row>
    <row r="53">
      <c r="A53" s="2">
        <v>45751.0</v>
      </c>
      <c r="B53" s="1" t="s">
        <v>8</v>
      </c>
      <c r="C53" s="1" t="s">
        <v>21</v>
      </c>
      <c r="D53" s="1">
        <v>14.0</v>
      </c>
      <c r="E53" s="1" t="s">
        <v>10</v>
      </c>
      <c r="F53" s="1" t="s">
        <v>15</v>
      </c>
      <c r="G53" s="1" t="s">
        <v>29</v>
      </c>
      <c r="H53" s="1" t="s">
        <v>20</v>
      </c>
    </row>
    <row r="54">
      <c r="A54" s="2">
        <v>45753.0</v>
      </c>
      <c r="B54" s="1" t="s">
        <v>14</v>
      </c>
      <c r="C54" s="1" t="s">
        <v>9</v>
      </c>
      <c r="D54" s="1">
        <v>20.0</v>
      </c>
      <c r="E54" s="1" t="s">
        <v>10</v>
      </c>
      <c r="F54" s="1" t="s">
        <v>11</v>
      </c>
      <c r="G54" s="1" t="s">
        <v>29</v>
      </c>
      <c r="H54" s="1" t="s">
        <v>13</v>
      </c>
    </row>
    <row r="55">
      <c r="A55" s="2">
        <v>45755.0</v>
      </c>
      <c r="B55" s="1" t="s">
        <v>19</v>
      </c>
      <c r="C55" s="1" t="s">
        <v>9</v>
      </c>
      <c r="D55" s="1">
        <v>7.0</v>
      </c>
      <c r="E55" s="1" t="s">
        <v>10</v>
      </c>
      <c r="F55" s="1" t="s">
        <v>11</v>
      </c>
      <c r="G55" s="1" t="s">
        <v>29</v>
      </c>
      <c r="H55" s="1" t="s">
        <v>16</v>
      </c>
    </row>
    <row r="56">
      <c r="A56" s="2">
        <v>45756.0</v>
      </c>
      <c r="B56" s="1" t="s">
        <v>8</v>
      </c>
      <c r="C56" s="1" t="s">
        <v>9</v>
      </c>
      <c r="D56" s="1">
        <v>14.0</v>
      </c>
      <c r="E56" s="1" t="s">
        <v>10</v>
      </c>
      <c r="F56" s="1" t="s">
        <v>15</v>
      </c>
      <c r="G56" s="1" t="s">
        <v>29</v>
      </c>
      <c r="H56" s="1" t="s">
        <v>18</v>
      </c>
    </row>
    <row r="57">
      <c r="A57" s="2">
        <v>45758.0</v>
      </c>
      <c r="B57" s="1" t="s">
        <v>17</v>
      </c>
      <c r="C57" s="1" t="s">
        <v>24</v>
      </c>
      <c r="D57" s="1">
        <v>11.0</v>
      </c>
      <c r="E57" s="1" t="s">
        <v>10</v>
      </c>
      <c r="F57" s="1" t="s">
        <v>11</v>
      </c>
      <c r="G57" s="1" t="s">
        <v>29</v>
      </c>
      <c r="H57" s="1" t="s">
        <v>20</v>
      </c>
    </row>
    <row r="58">
      <c r="A58" s="2">
        <v>45760.0</v>
      </c>
      <c r="B58" s="1" t="s">
        <v>8</v>
      </c>
      <c r="C58" s="1" t="s">
        <v>9</v>
      </c>
      <c r="D58" s="1">
        <v>16.0</v>
      </c>
      <c r="E58" s="1" t="s">
        <v>22</v>
      </c>
      <c r="F58" s="1" t="s">
        <v>11</v>
      </c>
      <c r="G58" s="1" t="s">
        <v>29</v>
      </c>
      <c r="H58" s="1" t="s">
        <v>13</v>
      </c>
    </row>
    <row r="59">
      <c r="A59" s="2">
        <v>45762.0</v>
      </c>
      <c r="B59" s="1" t="s">
        <v>23</v>
      </c>
      <c r="C59" s="1" t="s">
        <v>9</v>
      </c>
      <c r="D59" s="1">
        <v>21.0</v>
      </c>
      <c r="E59" s="1" t="s">
        <v>10</v>
      </c>
      <c r="F59" s="1" t="s">
        <v>15</v>
      </c>
      <c r="G59" s="1" t="s">
        <v>29</v>
      </c>
      <c r="H59" s="1" t="s">
        <v>16</v>
      </c>
    </row>
    <row r="60">
      <c r="A60" s="2">
        <v>45763.0</v>
      </c>
      <c r="B60" s="1" t="s">
        <v>8</v>
      </c>
      <c r="C60" s="1" t="s">
        <v>9</v>
      </c>
      <c r="D60" s="1">
        <v>14.0</v>
      </c>
      <c r="E60" s="1" t="s">
        <v>10</v>
      </c>
      <c r="F60" s="1" t="s">
        <v>11</v>
      </c>
      <c r="G60" s="1" t="s">
        <v>29</v>
      </c>
      <c r="H60" s="1" t="s">
        <v>18</v>
      </c>
    </row>
    <row r="61">
      <c r="A61" s="2">
        <v>45765.0</v>
      </c>
      <c r="B61" s="1" t="s">
        <v>17</v>
      </c>
      <c r="C61" s="1" t="s">
        <v>9</v>
      </c>
      <c r="D61" s="1">
        <v>9.0</v>
      </c>
      <c r="E61" s="1" t="s">
        <v>10</v>
      </c>
      <c r="F61" s="1" t="s">
        <v>11</v>
      </c>
      <c r="G61" s="1" t="s">
        <v>29</v>
      </c>
      <c r="H61" s="1" t="s">
        <v>20</v>
      </c>
    </row>
    <row r="62">
      <c r="A62" s="2">
        <v>45767.0</v>
      </c>
      <c r="B62" s="1" t="s">
        <v>14</v>
      </c>
      <c r="C62" s="1" t="s">
        <v>9</v>
      </c>
      <c r="D62" s="1">
        <v>23.0</v>
      </c>
      <c r="E62" s="1" t="s">
        <v>10</v>
      </c>
      <c r="F62" s="1" t="s">
        <v>15</v>
      </c>
      <c r="G62" s="1" t="s">
        <v>29</v>
      </c>
      <c r="H62" s="1" t="s">
        <v>13</v>
      </c>
    </row>
    <row r="63">
      <c r="A63" s="2">
        <v>45769.0</v>
      </c>
      <c r="B63" s="1" t="s">
        <v>8</v>
      </c>
      <c r="C63" s="1" t="s">
        <v>9</v>
      </c>
      <c r="D63" s="1">
        <v>14.0</v>
      </c>
      <c r="E63" s="1" t="s">
        <v>10</v>
      </c>
      <c r="F63" s="1" t="s">
        <v>11</v>
      </c>
      <c r="G63" s="1" t="s">
        <v>29</v>
      </c>
      <c r="H63" s="1" t="s">
        <v>16</v>
      </c>
    </row>
    <row r="64">
      <c r="A64" s="2">
        <v>45770.0</v>
      </c>
      <c r="B64" s="1" t="s">
        <v>19</v>
      </c>
      <c r="C64" s="1" t="s">
        <v>9</v>
      </c>
      <c r="D64" s="1">
        <v>7.0</v>
      </c>
      <c r="E64" s="1" t="s">
        <v>10</v>
      </c>
      <c r="F64" s="1" t="s">
        <v>11</v>
      </c>
      <c r="G64" s="1" t="s">
        <v>29</v>
      </c>
      <c r="H64" s="1" t="s">
        <v>18</v>
      </c>
    </row>
    <row r="65">
      <c r="A65" s="2">
        <v>45772.0</v>
      </c>
      <c r="B65" s="1" t="s">
        <v>26</v>
      </c>
      <c r="C65" s="1" t="s">
        <v>21</v>
      </c>
      <c r="D65" s="1">
        <v>26.0</v>
      </c>
      <c r="E65" s="1" t="s">
        <v>10</v>
      </c>
      <c r="F65" s="1" t="s">
        <v>15</v>
      </c>
      <c r="G65" s="1" t="s">
        <v>29</v>
      </c>
      <c r="H65" s="1" t="s">
        <v>20</v>
      </c>
    </row>
    <row r="66">
      <c r="A66" s="2">
        <v>45774.0</v>
      </c>
      <c r="B66" s="1" t="s">
        <v>8</v>
      </c>
      <c r="C66" s="1" t="s">
        <v>9</v>
      </c>
      <c r="D66" s="1">
        <v>14.0</v>
      </c>
      <c r="E66" s="1" t="s">
        <v>10</v>
      </c>
      <c r="F66" s="1" t="s">
        <v>11</v>
      </c>
      <c r="G66" s="1" t="s">
        <v>29</v>
      </c>
      <c r="H66" s="1" t="s">
        <v>13</v>
      </c>
    </row>
    <row r="67">
      <c r="A67" s="2">
        <v>45776.0</v>
      </c>
      <c r="B67" s="1" t="s">
        <v>17</v>
      </c>
      <c r="C67" s="1" t="s">
        <v>9</v>
      </c>
      <c r="D67" s="1">
        <v>10.0</v>
      </c>
      <c r="E67" s="1" t="s">
        <v>10</v>
      </c>
      <c r="F67" s="1" t="s">
        <v>11</v>
      </c>
      <c r="G67" s="1" t="s">
        <v>29</v>
      </c>
      <c r="H67" s="1" t="s">
        <v>16</v>
      </c>
    </row>
    <row r="68">
      <c r="A68" s="2">
        <v>45777.0</v>
      </c>
      <c r="B68" s="1" t="s">
        <v>8</v>
      </c>
      <c r="C68" s="1" t="s">
        <v>24</v>
      </c>
      <c r="D68" s="1">
        <v>14.0</v>
      </c>
      <c r="E68" s="1" t="s">
        <v>10</v>
      </c>
      <c r="F68" s="1" t="s">
        <v>15</v>
      </c>
      <c r="G68" s="1" t="s">
        <v>29</v>
      </c>
      <c r="H68" s="1" t="s">
        <v>18</v>
      </c>
    </row>
    <row r="69">
      <c r="A69" s="2">
        <v>45779.0</v>
      </c>
      <c r="B69" s="1" t="s">
        <v>14</v>
      </c>
      <c r="C69" s="1" t="s">
        <v>9</v>
      </c>
      <c r="D69" s="1">
        <v>21.0</v>
      </c>
      <c r="E69" s="1" t="s">
        <v>10</v>
      </c>
      <c r="F69" s="1" t="s">
        <v>11</v>
      </c>
      <c r="G69" s="1" t="s">
        <v>30</v>
      </c>
      <c r="H69" s="1" t="s">
        <v>20</v>
      </c>
    </row>
    <row r="70">
      <c r="A70" s="2">
        <v>45781.0</v>
      </c>
      <c r="B70" s="1" t="s">
        <v>8</v>
      </c>
      <c r="C70" s="1" t="s">
        <v>9</v>
      </c>
      <c r="D70" s="1">
        <v>14.0</v>
      </c>
      <c r="E70" s="1" t="s">
        <v>10</v>
      </c>
      <c r="F70" s="1" t="s">
        <v>11</v>
      </c>
      <c r="G70" s="1" t="s">
        <v>30</v>
      </c>
      <c r="H70" s="1" t="s">
        <v>13</v>
      </c>
    </row>
    <row r="71">
      <c r="A71" s="2">
        <v>45783.0</v>
      </c>
      <c r="B71" s="1" t="s">
        <v>19</v>
      </c>
      <c r="C71" s="1" t="s">
        <v>9</v>
      </c>
      <c r="D71" s="1">
        <v>7.0</v>
      </c>
      <c r="E71" s="1" t="s">
        <v>10</v>
      </c>
      <c r="F71" s="1" t="s">
        <v>15</v>
      </c>
      <c r="G71" s="1" t="s">
        <v>30</v>
      </c>
      <c r="H71" s="1" t="s">
        <v>16</v>
      </c>
    </row>
    <row r="72">
      <c r="A72" s="2">
        <v>45784.0</v>
      </c>
      <c r="B72" s="1" t="s">
        <v>17</v>
      </c>
      <c r="C72" s="1" t="s">
        <v>9</v>
      </c>
      <c r="D72" s="1">
        <v>12.0</v>
      </c>
      <c r="E72" s="1" t="s">
        <v>10</v>
      </c>
      <c r="F72" s="1" t="s">
        <v>11</v>
      </c>
      <c r="G72" s="1" t="s">
        <v>30</v>
      </c>
      <c r="H72" s="1" t="s">
        <v>18</v>
      </c>
    </row>
    <row r="73">
      <c r="A73" s="2">
        <v>45786.0</v>
      </c>
      <c r="B73" s="1" t="s">
        <v>8</v>
      </c>
      <c r="C73" s="1" t="s">
        <v>21</v>
      </c>
      <c r="D73" s="1">
        <v>15.0</v>
      </c>
      <c r="E73" s="1" t="s">
        <v>10</v>
      </c>
      <c r="F73" s="1" t="s">
        <v>11</v>
      </c>
      <c r="G73" s="1" t="s">
        <v>30</v>
      </c>
      <c r="H73" s="1" t="s">
        <v>20</v>
      </c>
    </row>
    <row r="74">
      <c r="A74" s="2">
        <v>45788.0</v>
      </c>
      <c r="B74" s="1" t="s">
        <v>25</v>
      </c>
      <c r="C74" s="1" t="s">
        <v>9</v>
      </c>
      <c r="D74" s="1">
        <v>28.0</v>
      </c>
      <c r="E74" s="1" t="s">
        <v>10</v>
      </c>
      <c r="F74" s="1" t="s">
        <v>15</v>
      </c>
      <c r="G74" s="1" t="s">
        <v>30</v>
      </c>
      <c r="H74" s="1" t="s">
        <v>13</v>
      </c>
    </row>
    <row r="75">
      <c r="A75" s="2">
        <v>45790.0</v>
      </c>
      <c r="B75" s="1" t="s">
        <v>8</v>
      </c>
      <c r="C75" s="1" t="s">
        <v>9</v>
      </c>
      <c r="D75" s="1">
        <v>14.0</v>
      </c>
      <c r="E75" s="1" t="s">
        <v>10</v>
      </c>
      <c r="F75" s="1" t="s">
        <v>11</v>
      </c>
      <c r="G75" s="1" t="s">
        <v>30</v>
      </c>
      <c r="H75" s="1" t="s">
        <v>16</v>
      </c>
    </row>
    <row r="76">
      <c r="A76" s="2">
        <v>45791.0</v>
      </c>
      <c r="B76" s="1" t="s">
        <v>23</v>
      </c>
      <c r="C76" s="1" t="s">
        <v>9</v>
      </c>
      <c r="D76" s="1">
        <v>18.0</v>
      </c>
      <c r="E76" s="1" t="s">
        <v>10</v>
      </c>
      <c r="F76" s="1" t="s">
        <v>11</v>
      </c>
      <c r="G76" s="1" t="s">
        <v>30</v>
      </c>
      <c r="H76" s="1" t="s">
        <v>18</v>
      </c>
    </row>
    <row r="77">
      <c r="A77" s="2">
        <v>45793.0</v>
      </c>
      <c r="B77" s="1" t="s">
        <v>17</v>
      </c>
      <c r="C77" s="1" t="s">
        <v>24</v>
      </c>
      <c r="D77" s="1">
        <v>9.0</v>
      </c>
      <c r="E77" s="1" t="s">
        <v>10</v>
      </c>
      <c r="F77" s="1" t="s">
        <v>15</v>
      </c>
      <c r="G77" s="1" t="s">
        <v>30</v>
      </c>
      <c r="H77" s="1" t="s">
        <v>20</v>
      </c>
    </row>
    <row r="78">
      <c r="A78" s="2">
        <v>45795.0</v>
      </c>
      <c r="B78" s="1" t="s">
        <v>8</v>
      </c>
      <c r="C78" s="1" t="s">
        <v>9</v>
      </c>
      <c r="D78" s="1">
        <v>14.0</v>
      </c>
      <c r="E78" s="1" t="s">
        <v>10</v>
      </c>
      <c r="F78" s="1" t="s">
        <v>11</v>
      </c>
      <c r="G78" s="1" t="s">
        <v>30</v>
      </c>
      <c r="H78" s="1" t="s">
        <v>13</v>
      </c>
    </row>
    <row r="79">
      <c r="A79" s="2">
        <v>45797.0</v>
      </c>
      <c r="B79" s="1" t="s">
        <v>14</v>
      </c>
      <c r="C79" s="1" t="s">
        <v>9</v>
      </c>
      <c r="D79" s="1">
        <v>22.0</v>
      </c>
      <c r="E79" s="1" t="s">
        <v>10</v>
      </c>
      <c r="F79" s="1" t="s">
        <v>11</v>
      </c>
      <c r="G79" s="1" t="s">
        <v>30</v>
      </c>
      <c r="H79" s="1" t="s">
        <v>16</v>
      </c>
    </row>
    <row r="80">
      <c r="A80" s="2">
        <v>45798.0</v>
      </c>
      <c r="B80" s="1" t="s">
        <v>19</v>
      </c>
      <c r="C80" s="1" t="s">
        <v>9</v>
      </c>
      <c r="D80" s="1">
        <v>7.0</v>
      </c>
      <c r="E80" s="1" t="s">
        <v>10</v>
      </c>
      <c r="F80" s="1" t="s">
        <v>15</v>
      </c>
      <c r="G80" s="1" t="s">
        <v>30</v>
      </c>
      <c r="H80" s="1" t="s">
        <v>18</v>
      </c>
    </row>
    <row r="81">
      <c r="A81" s="2">
        <v>45800.0</v>
      </c>
      <c r="B81" s="1" t="s">
        <v>8</v>
      </c>
      <c r="C81" s="1" t="s">
        <v>9</v>
      </c>
      <c r="D81" s="1">
        <v>14.0</v>
      </c>
      <c r="E81" s="1" t="s">
        <v>10</v>
      </c>
      <c r="F81" s="1" t="s">
        <v>11</v>
      </c>
      <c r="G81" s="1" t="s">
        <v>30</v>
      </c>
      <c r="H81" s="1" t="s">
        <v>20</v>
      </c>
    </row>
    <row r="82">
      <c r="A82" s="2">
        <v>45802.0</v>
      </c>
      <c r="B82" s="1" t="s">
        <v>26</v>
      </c>
      <c r="C82" s="1" t="s">
        <v>9</v>
      </c>
      <c r="D82" s="1">
        <v>25.0</v>
      </c>
      <c r="E82" s="1" t="s">
        <v>22</v>
      </c>
      <c r="F82" s="1" t="s">
        <v>15</v>
      </c>
      <c r="G82" s="1" t="s">
        <v>30</v>
      </c>
      <c r="H82" s="1" t="s">
        <v>13</v>
      </c>
    </row>
    <row r="83">
      <c r="A83" s="2">
        <v>45804.0</v>
      </c>
      <c r="B83" s="1" t="s">
        <v>17</v>
      </c>
      <c r="C83" s="1" t="s">
        <v>9</v>
      </c>
      <c r="D83" s="1">
        <v>10.0</v>
      </c>
      <c r="E83" s="1" t="s">
        <v>10</v>
      </c>
      <c r="F83" s="1" t="s">
        <v>11</v>
      </c>
      <c r="G83" s="1" t="s">
        <v>30</v>
      </c>
      <c r="H83" s="1" t="s">
        <v>16</v>
      </c>
    </row>
    <row r="84">
      <c r="A84" s="2">
        <v>45805.0</v>
      </c>
      <c r="B84" s="1" t="s">
        <v>8</v>
      </c>
      <c r="C84" s="1" t="s">
        <v>9</v>
      </c>
      <c r="D84" s="1">
        <v>14.0</v>
      </c>
      <c r="E84" s="1" t="s">
        <v>10</v>
      </c>
      <c r="F84" s="1" t="s">
        <v>11</v>
      </c>
      <c r="G84" s="1" t="s">
        <v>30</v>
      </c>
      <c r="H84" s="1" t="s">
        <v>18</v>
      </c>
    </row>
    <row r="85">
      <c r="A85" s="2">
        <v>45807.0</v>
      </c>
      <c r="B85" s="1" t="s">
        <v>8</v>
      </c>
      <c r="C85" s="1" t="s">
        <v>21</v>
      </c>
      <c r="D85" s="1">
        <v>16.0</v>
      </c>
      <c r="E85" s="1" t="s">
        <v>10</v>
      </c>
      <c r="F85" s="1" t="s">
        <v>15</v>
      </c>
      <c r="G85" s="1" t="s">
        <v>30</v>
      </c>
      <c r="H85" s="1" t="s">
        <v>20</v>
      </c>
    </row>
    <row r="86">
      <c r="A86" s="2">
        <v>45809.0</v>
      </c>
      <c r="B86" s="1" t="s">
        <v>19</v>
      </c>
      <c r="C86" s="1" t="s">
        <v>9</v>
      </c>
      <c r="D86" s="1">
        <v>7.0</v>
      </c>
      <c r="E86" s="1" t="s">
        <v>10</v>
      </c>
      <c r="F86" s="1" t="s">
        <v>11</v>
      </c>
      <c r="G86" s="1" t="s">
        <v>31</v>
      </c>
      <c r="H86" s="1" t="s">
        <v>13</v>
      </c>
    </row>
    <row r="87">
      <c r="A87" s="2">
        <v>45811.0</v>
      </c>
      <c r="B87" s="1" t="s">
        <v>8</v>
      </c>
      <c r="C87" s="1" t="s">
        <v>9</v>
      </c>
      <c r="D87" s="1">
        <v>21.0</v>
      </c>
      <c r="E87" s="1" t="s">
        <v>10</v>
      </c>
      <c r="F87" s="1" t="s">
        <v>11</v>
      </c>
      <c r="G87" s="1" t="s">
        <v>31</v>
      </c>
      <c r="H87" s="1" t="s">
        <v>16</v>
      </c>
    </row>
    <row r="88">
      <c r="A88" s="2">
        <v>45812.0</v>
      </c>
      <c r="B88" s="1" t="s">
        <v>17</v>
      </c>
      <c r="C88" s="1" t="s">
        <v>9</v>
      </c>
      <c r="D88" s="1">
        <v>14.0</v>
      </c>
      <c r="E88" s="1" t="s">
        <v>10</v>
      </c>
      <c r="F88" s="1" t="s">
        <v>15</v>
      </c>
      <c r="G88" s="1" t="s">
        <v>31</v>
      </c>
      <c r="H88" s="1" t="s">
        <v>18</v>
      </c>
    </row>
    <row r="89">
      <c r="A89" s="2">
        <v>45814.0</v>
      </c>
      <c r="B89" s="1" t="s">
        <v>14</v>
      </c>
      <c r="C89" s="1" t="s">
        <v>24</v>
      </c>
      <c r="D89" s="1">
        <v>20.0</v>
      </c>
      <c r="E89" s="1" t="s">
        <v>10</v>
      </c>
      <c r="F89" s="1" t="s">
        <v>11</v>
      </c>
      <c r="G89" s="1" t="s">
        <v>31</v>
      </c>
      <c r="H89" s="1" t="s">
        <v>20</v>
      </c>
    </row>
    <row r="90">
      <c r="A90" s="2">
        <v>45816.0</v>
      </c>
      <c r="B90" s="1" t="s">
        <v>8</v>
      </c>
      <c r="C90" s="1" t="s">
        <v>9</v>
      </c>
      <c r="D90" s="1">
        <v>14.0</v>
      </c>
      <c r="E90" s="1" t="s">
        <v>10</v>
      </c>
      <c r="F90" s="1" t="s">
        <v>11</v>
      </c>
      <c r="G90" s="1" t="s">
        <v>31</v>
      </c>
      <c r="H90" s="1" t="s">
        <v>13</v>
      </c>
    </row>
    <row r="91">
      <c r="A91" s="2">
        <v>45818.0</v>
      </c>
      <c r="B91" s="1" t="s">
        <v>19</v>
      </c>
      <c r="C91" s="1" t="s">
        <v>9</v>
      </c>
      <c r="D91" s="1">
        <v>7.0</v>
      </c>
      <c r="E91" s="1" t="s">
        <v>10</v>
      </c>
      <c r="F91" s="1" t="s">
        <v>15</v>
      </c>
      <c r="G91" s="1" t="s">
        <v>31</v>
      </c>
      <c r="H91" s="1" t="s">
        <v>16</v>
      </c>
    </row>
    <row r="92">
      <c r="A92" s="2">
        <v>45819.0</v>
      </c>
      <c r="B92" s="1" t="s">
        <v>17</v>
      </c>
      <c r="C92" s="1" t="s">
        <v>9</v>
      </c>
      <c r="D92" s="1">
        <v>11.0</v>
      </c>
      <c r="E92" s="1" t="s">
        <v>10</v>
      </c>
      <c r="F92" s="1" t="s">
        <v>11</v>
      </c>
      <c r="G92" s="1" t="s">
        <v>31</v>
      </c>
      <c r="H92" s="1" t="s">
        <v>18</v>
      </c>
    </row>
    <row r="93">
      <c r="A93" s="2">
        <v>45821.0</v>
      </c>
      <c r="B93" s="1" t="s">
        <v>8</v>
      </c>
      <c r="C93" s="1" t="s">
        <v>9</v>
      </c>
      <c r="D93" s="1">
        <v>15.0</v>
      </c>
      <c r="E93" s="1" t="s">
        <v>10</v>
      </c>
      <c r="F93" s="1" t="s">
        <v>11</v>
      </c>
      <c r="G93" s="1" t="s">
        <v>31</v>
      </c>
      <c r="H93" s="1" t="s">
        <v>20</v>
      </c>
    </row>
    <row r="94">
      <c r="A94" s="2">
        <v>45823.0</v>
      </c>
      <c r="B94" s="1" t="s">
        <v>23</v>
      </c>
      <c r="C94" s="1" t="s">
        <v>9</v>
      </c>
      <c r="D94" s="1">
        <v>19.0</v>
      </c>
      <c r="E94" s="1" t="s">
        <v>10</v>
      </c>
      <c r="F94" s="1" t="s">
        <v>15</v>
      </c>
      <c r="G94" s="1" t="s">
        <v>31</v>
      </c>
      <c r="H94" s="1" t="s">
        <v>13</v>
      </c>
    </row>
    <row r="95">
      <c r="A95" s="2">
        <v>45825.0</v>
      </c>
      <c r="B95" s="1" t="s">
        <v>8</v>
      </c>
      <c r="C95" s="1" t="s">
        <v>21</v>
      </c>
      <c r="D95" s="1">
        <v>14.0</v>
      </c>
      <c r="E95" s="1" t="s">
        <v>10</v>
      </c>
      <c r="F95" s="1" t="s">
        <v>11</v>
      </c>
      <c r="G95" s="1" t="s">
        <v>31</v>
      </c>
      <c r="H95" s="1" t="s">
        <v>16</v>
      </c>
    </row>
    <row r="96">
      <c r="A96" s="2">
        <v>45826.0</v>
      </c>
      <c r="B96" s="1" t="s">
        <v>17</v>
      </c>
      <c r="C96" s="1" t="s">
        <v>24</v>
      </c>
      <c r="D96" s="1">
        <v>10.0</v>
      </c>
      <c r="E96" s="1" t="s">
        <v>10</v>
      </c>
      <c r="F96" s="1" t="s">
        <v>11</v>
      </c>
      <c r="G96" s="1" t="s">
        <v>31</v>
      </c>
      <c r="H96" s="1" t="s">
        <v>18</v>
      </c>
    </row>
    <row r="97">
      <c r="A97" s="2">
        <v>45828.0</v>
      </c>
      <c r="B97" s="1" t="s">
        <v>14</v>
      </c>
      <c r="C97" s="1" t="s">
        <v>9</v>
      </c>
      <c r="D97" s="1">
        <v>24.0</v>
      </c>
      <c r="E97" s="1" t="s">
        <v>10</v>
      </c>
      <c r="F97" s="1" t="s">
        <v>15</v>
      </c>
      <c r="G97" s="1" t="s">
        <v>31</v>
      </c>
      <c r="H97" s="1" t="s">
        <v>20</v>
      </c>
    </row>
    <row r="98">
      <c r="A98" s="2">
        <v>45830.0</v>
      </c>
      <c r="B98" s="1" t="s">
        <v>8</v>
      </c>
      <c r="C98" s="1" t="s">
        <v>9</v>
      </c>
      <c r="D98" s="1">
        <v>14.0</v>
      </c>
      <c r="E98" s="1" t="s">
        <v>10</v>
      </c>
      <c r="F98" s="1" t="s">
        <v>11</v>
      </c>
      <c r="G98" s="1" t="s">
        <v>31</v>
      </c>
      <c r="H98" s="1" t="s">
        <v>13</v>
      </c>
    </row>
    <row r="99">
      <c r="A99" s="2">
        <v>45832.0</v>
      </c>
      <c r="B99" s="1" t="s">
        <v>19</v>
      </c>
      <c r="C99" s="1" t="s">
        <v>9</v>
      </c>
      <c r="D99" s="1">
        <v>7.0</v>
      </c>
      <c r="E99" s="1" t="s">
        <v>10</v>
      </c>
      <c r="F99" s="1" t="s">
        <v>11</v>
      </c>
      <c r="G99" s="1" t="s">
        <v>31</v>
      </c>
      <c r="H99" s="1" t="s">
        <v>16</v>
      </c>
    </row>
    <row r="100">
      <c r="A100" s="2">
        <v>45833.0</v>
      </c>
      <c r="B100" s="1" t="s">
        <v>26</v>
      </c>
      <c r="C100" s="1" t="s">
        <v>9</v>
      </c>
      <c r="D100" s="1">
        <v>22.0</v>
      </c>
      <c r="E100" s="1" t="s">
        <v>10</v>
      </c>
      <c r="F100" s="1" t="s">
        <v>15</v>
      </c>
      <c r="G100" s="1" t="s">
        <v>31</v>
      </c>
      <c r="H100" s="1" t="s">
        <v>18</v>
      </c>
    </row>
    <row r="101">
      <c r="A101" s="2">
        <v>45835.0</v>
      </c>
      <c r="B101" s="1" t="s">
        <v>8</v>
      </c>
      <c r="C101" s="1" t="s">
        <v>9</v>
      </c>
      <c r="D101" s="1">
        <v>14.0</v>
      </c>
      <c r="E101" s="1" t="s">
        <v>10</v>
      </c>
      <c r="F101" s="1" t="s">
        <v>11</v>
      </c>
      <c r="G101" s="1" t="s">
        <v>31</v>
      </c>
      <c r="H101" s="1" t="s">
        <v>20</v>
      </c>
    </row>
    <row r="102">
      <c r="A102" s="2">
        <v>45837.0</v>
      </c>
      <c r="B102" s="1" t="s">
        <v>17</v>
      </c>
      <c r="C102" s="1" t="s">
        <v>9</v>
      </c>
      <c r="D102" s="1">
        <v>9.0</v>
      </c>
      <c r="E102" s="1" t="s">
        <v>10</v>
      </c>
      <c r="F102" s="1" t="s">
        <v>11</v>
      </c>
      <c r="G102" s="1" t="s">
        <v>31</v>
      </c>
      <c r="H102" s="1" t="s">
        <v>13</v>
      </c>
    </row>
    <row r="103">
      <c r="A103" s="2">
        <v>45839.0</v>
      </c>
      <c r="B103" s="1" t="s">
        <v>8</v>
      </c>
      <c r="C103" s="1" t="s">
        <v>9</v>
      </c>
      <c r="D103" s="1">
        <v>21.0</v>
      </c>
      <c r="E103" s="1" t="s">
        <v>10</v>
      </c>
      <c r="F103" s="1" t="s">
        <v>15</v>
      </c>
      <c r="G103" s="1" t="s">
        <v>32</v>
      </c>
      <c r="H103" s="1" t="s">
        <v>16</v>
      </c>
    </row>
    <row r="104">
      <c r="A104" s="2">
        <v>45841.0</v>
      </c>
      <c r="B104" s="1" t="s">
        <v>14</v>
      </c>
      <c r="C104" s="1" t="s">
        <v>9</v>
      </c>
      <c r="D104" s="1">
        <v>28.0</v>
      </c>
      <c r="E104" s="1" t="s">
        <v>22</v>
      </c>
      <c r="F104" s="1" t="s">
        <v>11</v>
      </c>
      <c r="G104" s="1" t="s">
        <v>32</v>
      </c>
      <c r="H104" s="1" t="s">
        <v>33</v>
      </c>
    </row>
    <row r="105">
      <c r="A105" s="2">
        <v>45844.0</v>
      </c>
      <c r="B105" s="1" t="s">
        <v>19</v>
      </c>
      <c r="C105" s="1" t="s">
        <v>9</v>
      </c>
      <c r="D105" s="1">
        <v>7.0</v>
      </c>
      <c r="E105" s="1" t="s">
        <v>10</v>
      </c>
      <c r="F105" s="1" t="s">
        <v>11</v>
      </c>
      <c r="G105" s="1" t="s">
        <v>32</v>
      </c>
      <c r="H105" s="1" t="s">
        <v>13</v>
      </c>
    </row>
    <row r="106">
      <c r="A106" s="2">
        <v>45846.0</v>
      </c>
      <c r="B106" s="1" t="s">
        <v>17</v>
      </c>
      <c r="C106" s="1" t="s">
        <v>9</v>
      </c>
      <c r="D106" s="1">
        <v>14.0</v>
      </c>
      <c r="E106" s="1" t="s">
        <v>10</v>
      </c>
      <c r="F106" s="1" t="s">
        <v>15</v>
      </c>
      <c r="G106" s="1" t="s">
        <v>32</v>
      </c>
      <c r="H106" s="1" t="s">
        <v>16</v>
      </c>
    </row>
    <row r="107">
      <c r="A107" s="2">
        <v>45848.0</v>
      </c>
      <c r="B107" s="1" t="s">
        <v>8</v>
      </c>
      <c r="C107" s="1" t="s">
        <v>24</v>
      </c>
      <c r="D107" s="1">
        <v>15.0</v>
      </c>
      <c r="E107" s="1" t="s">
        <v>10</v>
      </c>
      <c r="F107" s="1" t="s">
        <v>11</v>
      </c>
      <c r="G107" s="1" t="s">
        <v>32</v>
      </c>
      <c r="H107" s="1" t="s">
        <v>33</v>
      </c>
    </row>
    <row r="108">
      <c r="A108" s="2">
        <v>45851.0</v>
      </c>
      <c r="B108" s="1" t="s">
        <v>8</v>
      </c>
      <c r="C108" s="1" t="s">
        <v>9</v>
      </c>
      <c r="D108" s="1">
        <v>21.0</v>
      </c>
      <c r="E108" s="1" t="s">
        <v>10</v>
      </c>
      <c r="F108" s="1" t="s">
        <v>11</v>
      </c>
      <c r="G108" s="1" t="s">
        <v>32</v>
      </c>
      <c r="H108" s="1" t="s">
        <v>13</v>
      </c>
    </row>
    <row r="109">
      <c r="A109" s="2">
        <v>45853.0</v>
      </c>
      <c r="B109" s="1" t="s">
        <v>17</v>
      </c>
      <c r="C109" s="1" t="s">
        <v>9</v>
      </c>
      <c r="D109" s="1">
        <v>12.0</v>
      </c>
      <c r="E109" s="1" t="s">
        <v>10</v>
      </c>
      <c r="F109" s="1" t="s">
        <v>15</v>
      </c>
      <c r="G109" s="1" t="s">
        <v>32</v>
      </c>
      <c r="H109" s="1" t="s">
        <v>16</v>
      </c>
    </row>
    <row r="110">
      <c r="A110" s="2">
        <v>45855.0</v>
      </c>
      <c r="B110" s="1" t="s">
        <v>23</v>
      </c>
      <c r="C110" s="1" t="s">
        <v>9</v>
      </c>
      <c r="D110" s="1">
        <v>20.0</v>
      </c>
      <c r="E110" s="1" t="s">
        <v>10</v>
      </c>
      <c r="F110" s="1" t="s">
        <v>11</v>
      </c>
      <c r="G110" s="1" t="s">
        <v>32</v>
      </c>
      <c r="H110" s="1" t="s">
        <v>33</v>
      </c>
    </row>
    <row r="111">
      <c r="A111" s="2">
        <v>45858.0</v>
      </c>
      <c r="B111" s="1" t="s">
        <v>8</v>
      </c>
      <c r="C111" s="1" t="s">
        <v>21</v>
      </c>
      <c r="D111" s="1">
        <v>14.0</v>
      </c>
      <c r="E111" s="1" t="s">
        <v>10</v>
      </c>
      <c r="F111" s="1" t="s">
        <v>11</v>
      </c>
      <c r="G111" s="1" t="s">
        <v>32</v>
      </c>
      <c r="H111" s="1" t="s">
        <v>13</v>
      </c>
    </row>
    <row r="112">
      <c r="A112" s="2">
        <v>45860.0</v>
      </c>
      <c r="B112" s="1" t="s">
        <v>19</v>
      </c>
      <c r="C112" s="1" t="s">
        <v>9</v>
      </c>
      <c r="D112" s="1">
        <v>7.0</v>
      </c>
      <c r="E112" s="1" t="s">
        <v>10</v>
      </c>
      <c r="F112" s="1" t="s">
        <v>15</v>
      </c>
      <c r="G112" s="1" t="s">
        <v>32</v>
      </c>
      <c r="H112" s="1" t="s">
        <v>16</v>
      </c>
    </row>
    <row r="113">
      <c r="A113" s="2">
        <v>45862.0</v>
      </c>
      <c r="B113" s="1" t="s">
        <v>8</v>
      </c>
      <c r="C113" s="1" t="s">
        <v>9</v>
      </c>
      <c r="D113" s="1">
        <v>21.0</v>
      </c>
      <c r="E113" s="1" t="s">
        <v>10</v>
      </c>
      <c r="F113" s="1" t="s">
        <v>11</v>
      </c>
      <c r="G113" s="1" t="s">
        <v>32</v>
      </c>
      <c r="H113" s="1" t="s">
        <v>33</v>
      </c>
    </row>
    <row r="114">
      <c r="A114" s="2">
        <v>45865.0</v>
      </c>
      <c r="B114" s="1" t="s">
        <v>17</v>
      </c>
      <c r="C114" s="1" t="s">
        <v>9</v>
      </c>
      <c r="D114" s="1">
        <v>10.0</v>
      </c>
      <c r="E114" s="1" t="s">
        <v>10</v>
      </c>
      <c r="F114" s="1" t="s">
        <v>11</v>
      </c>
      <c r="G114" s="1" t="s">
        <v>32</v>
      </c>
      <c r="H114" s="1" t="s">
        <v>13</v>
      </c>
    </row>
    <row r="115">
      <c r="A115" s="2">
        <v>45867.0</v>
      </c>
      <c r="B115" s="1" t="s">
        <v>14</v>
      </c>
      <c r="C115" s="1" t="s">
        <v>9</v>
      </c>
      <c r="D115" s="1">
        <v>25.0</v>
      </c>
      <c r="E115" s="1" t="s">
        <v>10</v>
      </c>
      <c r="F115" s="1" t="s">
        <v>15</v>
      </c>
      <c r="G115" s="1" t="s">
        <v>32</v>
      </c>
      <c r="H115" s="1" t="s">
        <v>16</v>
      </c>
    </row>
    <row r="116">
      <c r="A116" s="2">
        <v>45869.0</v>
      </c>
      <c r="B116" s="1" t="s">
        <v>8</v>
      </c>
      <c r="C116" s="1" t="s">
        <v>9</v>
      </c>
      <c r="D116" s="1">
        <v>14.0</v>
      </c>
      <c r="E116" s="1" t="s">
        <v>10</v>
      </c>
      <c r="F116" s="1" t="s">
        <v>11</v>
      </c>
      <c r="G116" s="1" t="s">
        <v>32</v>
      </c>
      <c r="H116" s="1" t="s">
        <v>33</v>
      </c>
    </row>
    <row r="117">
      <c r="A117" s="2">
        <v>45872.0</v>
      </c>
      <c r="B117" s="1" t="s">
        <v>19</v>
      </c>
      <c r="C117" s="1" t="s">
        <v>9</v>
      </c>
      <c r="D117" s="1">
        <v>7.0</v>
      </c>
      <c r="E117" s="1" t="s">
        <v>10</v>
      </c>
      <c r="F117" s="1" t="s">
        <v>11</v>
      </c>
      <c r="G117" s="1" t="s">
        <v>34</v>
      </c>
      <c r="H117" s="1" t="s">
        <v>13</v>
      </c>
    </row>
    <row r="118">
      <c r="A118" s="2">
        <v>45874.0</v>
      </c>
      <c r="B118" s="1" t="s">
        <v>8</v>
      </c>
      <c r="C118" s="1" t="s">
        <v>9</v>
      </c>
      <c r="D118" s="1">
        <v>28.0</v>
      </c>
      <c r="E118" s="1" t="s">
        <v>22</v>
      </c>
      <c r="F118" s="1" t="s">
        <v>15</v>
      </c>
      <c r="G118" s="1" t="s">
        <v>34</v>
      </c>
      <c r="H118" s="1" t="s">
        <v>16</v>
      </c>
    </row>
    <row r="119">
      <c r="A119" s="2">
        <v>45876.0</v>
      </c>
      <c r="B119" s="1" t="s">
        <v>17</v>
      </c>
      <c r="C119" s="1" t="s">
        <v>24</v>
      </c>
      <c r="D119" s="1">
        <v>14.0</v>
      </c>
      <c r="E119" s="1" t="s">
        <v>10</v>
      </c>
      <c r="F119" s="1" t="s">
        <v>11</v>
      </c>
      <c r="G119" s="1" t="s">
        <v>34</v>
      </c>
      <c r="H119" s="1" t="s">
        <v>33</v>
      </c>
    </row>
    <row r="120">
      <c r="A120" s="2">
        <v>45879.0</v>
      </c>
      <c r="B120" s="1" t="s">
        <v>8</v>
      </c>
      <c r="C120" s="1" t="s">
        <v>9</v>
      </c>
      <c r="D120" s="1">
        <v>21.0</v>
      </c>
      <c r="E120" s="1" t="s">
        <v>10</v>
      </c>
      <c r="F120" s="1" t="s">
        <v>11</v>
      </c>
      <c r="G120" s="1" t="s">
        <v>34</v>
      </c>
      <c r="H120" s="1" t="s">
        <v>13</v>
      </c>
    </row>
    <row r="121">
      <c r="A121" s="2">
        <v>45881.0</v>
      </c>
      <c r="B121" s="1" t="s">
        <v>14</v>
      </c>
      <c r="C121" s="1" t="s">
        <v>9</v>
      </c>
      <c r="D121" s="1">
        <v>23.0</v>
      </c>
      <c r="E121" s="1" t="s">
        <v>10</v>
      </c>
      <c r="F121" s="1" t="s">
        <v>15</v>
      </c>
      <c r="G121" s="1" t="s">
        <v>34</v>
      </c>
      <c r="H121" s="1" t="s">
        <v>16</v>
      </c>
    </row>
    <row r="122">
      <c r="A122" s="2">
        <v>45883.0</v>
      </c>
      <c r="B122" s="1" t="s">
        <v>17</v>
      </c>
      <c r="C122" s="1" t="s">
        <v>9</v>
      </c>
      <c r="D122" s="1">
        <v>11.0</v>
      </c>
      <c r="E122" s="1" t="s">
        <v>10</v>
      </c>
      <c r="F122" s="1" t="s">
        <v>11</v>
      </c>
      <c r="G122" s="1" t="s">
        <v>34</v>
      </c>
      <c r="H122" s="1" t="s">
        <v>33</v>
      </c>
    </row>
    <row r="123">
      <c r="A123" s="2">
        <v>45886.0</v>
      </c>
      <c r="B123" s="1" t="s">
        <v>8</v>
      </c>
      <c r="C123" s="1" t="s">
        <v>9</v>
      </c>
      <c r="D123" s="1">
        <v>14.0</v>
      </c>
      <c r="E123" s="1" t="s">
        <v>10</v>
      </c>
      <c r="F123" s="1" t="s">
        <v>11</v>
      </c>
      <c r="G123" s="1" t="s">
        <v>34</v>
      </c>
      <c r="H123" s="1" t="s">
        <v>13</v>
      </c>
    </row>
    <row r="124">
      <c r="A124" s="2">
        <v>45888.0</v>
      </c>
      <c r="B124" s="1" t="s">
        <v>19</v>
      </c>
      <c r="C124" s="1" t="s">
        <v>9</v>
      </c>
      <c r="D124" s="1">
        <v>7.0</v>
      </c>
      <c r="E124" s="1" t="s">
        <v>10</v>
      </c>
      <c r="F124" s="1" t="s">
        <v>15</v>
      </c>
      <c r="G124" s="1" t="s">
        <v>34</v>
      </c>
      <c r="H124" s="1" t="s">
        <v>16</v>
      </c>
    </row>
    <row r="125">
      <c r="A125" s="2">
        <v>45890.0</v>
      </c>
      <c r="B125" s="1" t="s">
        <v>26</v>
      </c>
      <c r="C125" s="1" t="s">
        <v>21</v>
      </c>
      <c r="D125" s="1">
        <v>26.0</v>
      </c>
      <c r="E125" s="1" t="s">
        <v>10</v>
      </c>
      <c r="F125" s="1" t="s">
        <v>11</v>
      </c>
      <c r="G125" s="1" t="s">
        <v>34</v>
      </c>
      <c r="H125" s="1" t="s">
        <v>33</v>
      </c>
    </row>
    <row r="126">
      <c r="A126" s="2">
        <v>45893.0</v>
      </c>
      <c r="B126" s="1" t="s">
        <v>8</v>
      </c>
      <c r="C126" s="1" t="s">
        <v>9</v>
      </c>
      <c r="D126" s="1">
        <v>21.0</v>
      </c>
      <c r="E126" s="1" t="s">
        <v>10</v>
      </c>
      <c r="F126" s="1" t="s">
        <v>11</v>
      </c>
      <c r="G126" s="1" t="s">
        <v>34</v>
      </c>
      <c r="H126" s="1" t="s">
        <v>13</v>
      </c>
    </row>
    <row r="127">
      <c r="A127" s="2">
        <v>45895.0</v>
      </c>
      <c r="B127" s="1" t="s">
        <v>17</v>
      </c>
      <c r="C127" s="1" t="s">
        <v>9</v>
      </c>
      <c r="D127" s="1">
        <v>10.0</v>
      </c>
      <c r="E127" s="1" t="s">
        <v>10</v>
      </c>
      <c r="F127" s="1" t="s">
        <v>15</v>
      </c>
      <c r="G127" s="1" t="s">
        <v>34</v>
      </c>
      <c r="H127" s="1" t="s">
        <v>16</v>
      </c>
    </row>
    <row r="128">
      <c r="A128" s="2">
        <v>45897.0</v>
      </c>
      <c r="B128" s="1" t="s">
        <v>8</v>
      </c>
      <c r="C128" s="1" t="s">
        <v>24</v>
      </c>
      <c r="D128" s="1">
        <v>14.0</v>
      </c>
      <c r="E128" s="1" t="s">
        <v>10</v>
      </c>
      <c r="F128" s="1" t="s">
        <v>11</v>
      </c>
      <c r="G128" s="1" t="s">
        <v>34</v>
      </c>
      <c r="H128" s="1" t="s">
        <v>33</v>
      </c>
    </row>
    <row r="129">
      <c r="A129" s="2">
        <v>45900.0</v>
      </c>
      <c r="B129" s="1" t="s">
        <v>23</v>
      </c>
      <c r="C129" s="1" t="s">
        <v>9</v>
      </c>
      <c r="D129" s="1">
        <v>19.0</v>
      </c>
      <c r="E129" s="1" t="s">
        <v>10</v>
      </c>
      <c r="F129" s="1" t="s">
        <v>11</v>
      </c>
      <c r="G129" s="1" t="s">
        <v>34</v>
      </c>
      <c r="H129" s="1" t="s">
        <v>13</v>
      </c>
    </row>
    <row r="130">
      <c r="A130" s="2">
        <v>45902.0</v>
      </c>
      <c r="B130" s="1" t="s">
        <v>8</v>
      </c>
      <c r="C130" s="1" t="s">
        <v>9</v>
      </c>
      <c r="D130" s="1">
        <v>14.0</v>
      </c>
      <c r="E130" s="1" t="s">
        <v>10</v>
      </c>
      <c r="F130" s="1" t="s">
        <v>15</v>
      </c>
      <c r="G130" s="1" t="s">
        <v>35</v>
      </c>
      <c r="H130" s="1" t="s">
        <v>16</v>
      </c>
    </row>
    <row r="131">
      <c r="A131" s="2">
        <v>45903.0</v>
      </c>
      <c r="B131" s="1" t="s">
        <v>17</v>
      </c>
      <c r="C131" s="1" t="s">
        <v>9</v>
      </c>
      <c r="D131" s="1">
        <v>9.0</v>
      </c>
      <c r="E131" s="1" t="s">
        <v>10</v>
      </c>
      <c r="F131" s="1" t="s">
        <v>11</v>
      </c>
      <c r="G131" s="1" t="s">
        <v>35</v>
      </c>
      <c r="H131" s="1" t="s">
        <v>18</v>
      </c>
    </row>
    <row r="132">
      <c r="A132" s="2">
        <v>45905.0</v>
      </c>
      <c r="B132" s="1" t="s">
        <v>14</v>
      </c>
      <c r="C132" s="1" t="s">
        <v>9</v>
      </c>
      <c r="D132" s="1">
        <v>21.0</v>
      </c>
      <c r="E132" s="1" t="s">
        <v>10</v>
      </c>
      <c r="F132" s="1" t="s">
        <v>11</v>
      </c>
      <c r="G132" s="1" t="s">
        <v>35</v>
      </c>
      <c r="H132" s="1" t="s">
        <v>20</v>
      </c>
    </row>
    <row r="133">
      <c r="A133" s="2">
        <v>45907.0</v>
      </c>
      <c r="B133" s="1" t="s">
        <v>8</v>
      </c>
      <c r="C133" s="1" t="s">
        <v>21</v>
      </c>
      <c r="D133" s="1">
        <v>14.0</v>
      </c>
      <c r="E133" s="1" t="s">
        <v>10</v>
      </c>
      <c r="F133" s="1" t="s">
        <v>15</v>
      </c>
      <c r="G133" s="1" t="s">
        <v>35</v>
      </c>
      <c r="H133" s="1" t="s">
        <v>13</v>
      </c>
    </row>
    <row r="134">
      <c r="A134" s="2">
        <v>45909.0</v>
      </c>
      <c r="B134" s="1" t="s">
        <v>19</v>
      </c>
      <c r="C134" s="1" t="s">
        <v>9</v>
      </c>
      <c r="D134" s="1">
        <v>7.0</v>
      </c>
      <c r="E134" s="1" t="s">
        <v>10</v>
      </c>
      <c r="F134" s="1" t="s">
        <v>11</v>
      </c>
      <c r="G134" s="1" t="s">
        <v>35</v>
      </c>
      <c r="H134" s="1" t="s">
        <v>16</v>
      </c>
    </row>
    <row r="135">
      <c r="A135" s="2">
        <v>45910.0</v>
      </c>
      <c r="B135" s="1" t="s">
        <v>17</v>
      </c>
      <c r="C135" s="1" t="s">
        <v>24</v>
      </c>
      <c r="D135" s="1">
        <v>12.0</v>
      </c>
      <c r="E135" s="1" t="s">
        <v>10</v>
      </c>
      <c r="F135" s="1" t="s">
        <v>11</v>
      </c>
      <c r="G135" s="1" t="s">
        <v>35</v>
      </c>
      <c r="H135" s="1" t="s">
        <v>18</v>
      </c>
    </row>
    <row r="136">
      <c r="A136" s="2">
        <v>45912.0</v>
      </c>
      <c r="B136" s="1" t="s">
        <v>8</v>
      </c>
      <c r="C136" s="1" t="s">
        <v>9</v>
      </c>
      <c r="D136" s="1">
        <v>14.0</v>
      </c>
      <c r="E136" s="1" t="s">
        <v>10</v>
      </c>
      <c r="F136" s="1" t="s">
        <v>15</v>
      </c>
      <c r="G136" s="1" t="s">
        <v>35</v>
      </c>
      <c r="H136" s="1" t="s">
        <v>20</v>
      </c>
    </row>
    <row r="137">
      <c r="A137" s="2">
        <v>45914.0</v>
      </c>
      <c r="B137" s="1" t="s">
        <v>8</v>
      </c>
      <c r="C137" s="1" t="s">
        <v>9</v>
      </c>
      <c r="D137" s="1">
        <v>16.0</v>
      </c>
      <c r="E137" s="1" t="s">
        <v>22</v>
      </c>
      <c r="F137" s="1" t="s">
        <v>11</v>
      </c>
      <c r="G137" s="1" t="s">
        <v>35</v>
      </c>
      <c r="H137" s="1" t="s">
        <v>13</v>
      </c>
    </row>
    <row r="138">
      <c r="A138" s="2">
        <v>45916.0</v>
      </c>
      <c r="B138" s="1" t="s">
        <v>23</v>
      </c>
      <c r="C138" s="1" t="s">
        <v>9</v>
      </c>
      <c r="D138" s="1">
        <v>18.0</v>
      </c>
      <c r="E138" s="1" t="s">
        <v>10</v>
      </c>
      <c r="F138" s="1" t="s">
        <v>15</v>
      </c>
      <c r="G138" s="1" t="s">
        <v>35</v>
      </c>
      <c r="H138" s="1" t="s">
        <v>16</v>
      </c>
    </row>
    <row r="139">
      <c r="A139" s="2">
        <v>45917.0</v>
      </c>
      <c r="B139" s="1" t="s">
        <v>17</v>
      </c>
      <c r="C139" s="1" t="s">
        <v>9</v>
      </c>
      <c r="D139" s="1">
        <v>10.0</v>
      </c>
      <c r="E139" s="1" t="s">
        <v>10</v>
      </c>
      <c r="F139" s="1" t="s">
        <v>11</v>
      </c>
      <c r="G139" s="1" t="s">
        <v>35</v>
      </c>
      <c r="H139" s="1" t="s">
        <v>18</v>
      </c>
    </row>
    <row r="140">
      <c r="A140" s="2">
        <v>45919.0</v>
      </c>
      <c r="B140" s="1" t="s">
        <v>14</v>
      </c>
      <c r="C140" s="1" t="s">
        <v>9</v>
      </c>
      <c r="D140" s="1">
        <v>22.0</v>
      </c>
      <c r="E140" s="1" t="s">
        <v>10</v>
      </c>
      <c r="F140" s="1" t="s">
        <v>11</v>
      </c>
      <c r="G140" s="1" t="s">
        <v>35</v>
      </c>
      <c r="H140" s="1" t="s">
        <v>20</v>
      </c>
    </row>
    <row r="141">
      <c r="A141" s="2">
        <v>45921.0</v>
      </c>
      <c r="B141" s="1" t="s">
        <v>8</v>
      </c>
      <c r="C141" s="1" t="s">
        <v>9</v>
      </c>
      <c r="D141" s="1">
        <v>14.0</v>
      </c>
      <c r="E141" s="1" t="s">
        <v>10</v>
      </c>
      <c r="F141" s="1" t="s">
        <v>15</v>
      </c>
      <c r="G141" s="1" t="s">
        <v>35</v>
      </c>
      <c r="H141" s="1" t="s">
        <v>13</v>
      </c>
    </row>
    <row r="142">
      <c r="A142" s="2">
        <v>45923.0</v>
      </c>
      <c r="B142" s="1" t="s">
        <v>19</v>
      </c>
      <c r="C142" s="1" t="s">
        <v>9</v>
      </c>
      <c r="D142" s="1">
        <v>7.0</v>
      </c>
      <c r="E142" s="1" t="s">
        <v>10</v>
      </c>
      <c r="F142" s="1" t="s">
        <v>11</v>
      </c>
      <c r="G142" s="1" t="s">
        <v>35</v>
      </c>
      <c r="H142" s="1" t="s">
        <v>16</v>
      </c>
    </row>
    <row r="143">
      <c r="A143" s="2">
        <v>45924.0</v>
      </c>
      <c r="B143" s="1" t="s">
        <v>8</v>
      </c>
      <c r="C143" s="1" t="s">
        <v>24</v>
      </c>
      <c r="D143" s="1">
        <v>14.0</v>
      </c>
      <c r="E143" s="1" t="s">
        <v>10</v>
      </c>
      <c r="F143" s="1" t="s">
        <v>11</v>
      </c>
      <c r="G143" s="1" t="s">
        <v>35</v>
      </c>
      <c r="H143" s="1" t="s">
        <v>18</v>
      </c>
    </row>
    <row r="144">
      <c r="A144" s="2">
        <v>45926.0</v>
      </c>
      <c r="B144" s="1" t="s">
        <v>26</v>
      </c>
      <c r="C144" s="1" t="s">
        <v>9</v>
      </c>
      <c r="D144" s="1">
        <v>24.0</v>
      </c>
      <c r="E144" s="1" t="s">
        <v>10</v>
      </c>
      <c r="F144" s="1" t="s">
        <v>15</v>
      </c>
      <c r="G144" s="1" t="s">
        <v>35</v>
      </c>
      <c r="H144" s="1" t="s">
        <v>20</v>
      </c>
    </row>
    <row r="145">
      <c r="A145" s="2">
        <v>45928.0</v>
      </c>
      <c r="B145" s="1" t="s">
        <v>17</v>
      </c>
      <c r="C145" s="1" t="s">
        <v>9</v>
      </c>
      <c r="D145" s="1">
        <v>9.0</v>
      </c>
      <c r="E145" s="1" t="s">
        <v>10</v>
      </c>
      <c r="F145" s="1" t="s">
        <v>11</v>
      </c>
      <c r="G145" s="1" t="s">
        <v>35</v>
      </c>
      <c r="H145" s="1" t="s">
        <v>13</v>
      </c>
    </row>
    <row r="146">
      <c r="A146" s="2">
        <v>45930.0</v>
      </c>
      <c r="B146" s="1" t="s">
        <v>8</v>
      </c>
      <c r="C146" s="1" t="s">
        <v>9</v>
      </c>
      <c r="D146" s="1">
        <v>14.0</v>
      </c>
      <c r="E146" s="1" t="s">
        <v>10</v>
      </c>
      <c r="F146" s="1" t="s">
        <v>11</v>
      </c>
      <c r="G146" s="1" t="s">
        <v>35</v>
      </c>
      <c r="H146" s="1" t="s">
        <v>16</v>
      </c>
    </row>
    <row r="147">
      <c r="A147" s="2">
        <v>45931.0</v>
      </c>
      <c r="B147" s="1" t="s">
        <v>14</v>
      </c>
      <c r="C147" s="1" t="s">
        <v>9</v>
      </c>
      <c r="D147" s="1">
        <v>21.0</v>
      </c>
      <c r="E147" s="1" t="s">
        <v>10</v>
      </c>
      <c r="F147" s="1" t="s">
        <v>15</v>
      </c>
      <c r="G147" s="1" t="s">
        <v>36</v>
      </c>
      <c r="H147" s="1" t="s">
        <v>18</v>
      </c>
    </row>
    <row r="148">
      <c r="A148" s="2">
        <v>45933.0</v>
      </c>
      <c r="B148" s="1" t="s">
        <v>8</v>
      </c>
      <c r="C148" s="1" t="s">
        <v>21</v>
      </c>
      <c r="D148" s="1">
        <v>14.0</v>
      </c>
      <c r="E148" s="1" t="s">
        <v>10</v>
      </c>
      <c r="F148" s="1" t="s">
        <v>11</v>
      </c>
      <c r="G148" s="1" t="s">
        <v>36</v>
      </c>
      <c r="H148" s="1" t="s">
        <v>20</v>
      </c>
    </row>
    <row r="149">
      <c r="A149" s="2">
        <v>45935.0</v>
      </c>
      <c r="B149" s="1" t="s">
        <v>19</v>
      </c>
      <c r="C149" s="1" t="s">
        <v>9</v>
      </c>
      <c r="D149" s="1">
        <v>7.0</v>
      </c>
      <c r="E149" s="1" t="s">
        <v>10</v>
      </c>
      <c r="F149" s="1" t="s">
        <v>11</v>
      </c>
      <c r="G149" s="1" t="s">
        <v>36</v>
      </c>
      <c r="H149" s="1" t="s">
        <v>13</v>
      </c>
    </row>
    <row r="150">
      <c r="A150" s="2">
        <v>45937.0</v>
      </c>
      <c r="B150" s="1" t="s">
        <v>17</v>
      </c>
      <c r="C150" s="1" t="s">
        <v>9</v>
      </c>
      <c r="D150" s="1">
        <v>11.0</v>
      </c>
      <c r="E150" s="1" t="s">
        <v>10</v>
      </c>
      <c r="F150" s="1" t="s">
        <v>15</v>
      </c>
      <c r="G150" s="1" t="s">
        <v>36</v>
      </c>
      <c r="H150" s="1" t="s">
        <v>16</v>
      </c>
    </row>
    <row r="151">
      <c r="A151" s="2">
        <v>45938.0</v>
      </c>
      <c r="B151" s="1" t="s">
        <v>8</v>
      </c>
      <c r="C151" s="1" t="s">
        <v>9</v>
      </c>
      <c r="D151" s="1">
        <v>14.0</v>
      </c>
      <c r="E151" s="1" t="s">
        <v>10</v>
      </c>
      <c r="F151" s="1" t="s">
        <v>11</v>
      </c>
      <c r="G151" s="1" t="s">
        <v>36</v>
      </c>
      <c r="H151" s="1" t="s">
        <v>18</v>
      </c>
    </row>
    <row r="152">
      <c r="A152" s="2">
        <v>45940.0</v>
      </c>
      <c r="B152" s="1" t="s">
        <v>8</v>
      </c>
      <c r="C152" s="1" t="s">
        <v>9</v>
      </c>
      <c r="D152" s="1">
        <v>15.0</v>
      </c>
      <c r="E152" s="1" t="s">
        <v>10</v>
      </c>
      <c r="F152" s="1" t="s">
        <v>11</v>
      </c>
      <c r="G152" s="1" t="s">
        <v>36</v>
      </c>
      <c r="H152" s="1" t="s">
        <v>20</v>
      </c>
    </row>
    <row r="153">
      <c r="A153" s="2">
        <v>45942.0</v>
      </c>
      <c r="B153" s="1" t="s">
        <v>23</v>
      </c>
      <c r="C153" s="1" t="s">
        <v>9</v>
      </c>
      <c r="D153" s="1">
        <v>20.0</v>
      </c>
      <c r="E153" s="1" t="s">
        <v>10</v>
      </c>
      <c r="F153" s="1" t="s">
        <v>15</v>
      </c>
      <c r="G153" s="1" t="s">
        <v>36</v>
      </c>
      <c r="H153" s="1" t="s">
        <v>13</v>
      </c>
    </row>
    <row r="154">
      <c r="A154" s="2">
        <v>45944.0</v>
      </c>
      <c r="B154" s="1" t="s">
        <v>17</v>
      </c>
      <c r="C154" s="1" t="s">
        <v>24</v>
      </c>
      <c r="D154" s="1">
        <v>10.0</v>
      </c>
      <c r="E154" s="1" t="s">
        <v>10</v>
      </c>
      <c r="F154" s="1" t="s">
        <v>11</v>
      </c>
      <c r="G154" s="1" t="s">
        <v>36</v>
      </c>
      <c r="H154" s="1" t="s">
        <v>16</v>
      </c>
    </row>
    <row r="155">
      <c r="A155" s="2">
        <v>45945.0</v>
      </c>
      <c r="B155" s="1" t="s">
        <v>14</v>
      </c>
      <c r="C155" s="1" t="s">
        <v>9</v>
      </c>
      <c r="D155" s="1">
        <v>23.0</v>
      </c>
      <c r="E155" s="1" t="s">
        <v>10</v>
      </c>
      <c r="F155" s="1" t="s">
        <v>11</v>
      </c>
      <c r="G155" s="1" t="s">
        <v>36</v>
      </c>
      <c r="H155" s="1" t="s">
        <v>18</v>
      </c>
    </row>
    <row r="156">
      <c r="A156" s="2">
        <v>45947.0</v>
      </c>
      <c r="B156" s="1" t="s">
        <v>8</v>
      </c>
      <c r="C156" s="1" t="s">
        <v>9</v>
      </c>
      <c r="D156" s="1">
        <v>14.0</v>
      </c>
      <c r="E156" s="1" t="s">
        <v>10</v>
      </c>
      <c r="F156" s="1" t="s">
        <v>15</v>
      </c>
      <c r="G156" s="1" t="s">
        <v>36</v>
      </c>
      <c r="H156" s="1" t="s">
        <v>20</v>
      </c>
    </row>
    <row r="157">
      <c r="A157" s="2">
        <v>45949.0</v>
      </c>
      <c r="B157" s="1" t="s">
        <v>19</v>
      </c>
      <c r="C157" s="1" t="s">
        <v>9</v>
      </c>
      <c r="D157" s="1">
        <v>7.0</v>
      </c>
      <c r="E157" s="1" t="s">
        <v>10</v>
      </c>
      <c r="F157" s="1" t="s">
        <v>11</v>
      </c>
      <c r="G157" s="1" t="s">
        <v>36</v>
      </c>
      <c r="H157" s="1" t="s">
        <v>13</v>
      </c>
    </row>
    <row r="158">
      <c r="A158" s="2">
        <v>45951.0</v>
      </c>
      <c r="B158" s="1" t="s">
        <v>8</v>
      </c>
      <c r="C158" s="1" t="s">
        <v>9</v>
      </c>
      <c r="D158" s="1">
        <v>14.0</v>
      </c>
      <c r="E158" s="1" t="s">
        <v>10</v>
      </c>
      <c r="F158" s="1" t="s">
        <v>11</v>
      </c>
      <c r="G158" s="1" t="s">
        <v>36</v>
      </c>
      <c r="H158" s="1" t="s">
        <v>16</v>
      </c>
    </row>
    <row r="159">
      <c r="A159" s="2">
        <v>45952.0</v>
      </c>
      <c r="B159" s="1" t="s">
        <v>17</v>
      </c>
      <c r="C159" s="1" t="s">
        <v>9</v>
      </c>
      <c r="D159" s="1">
        <v>9.0</v>
      </c>
      <c r="E159" s="1" t="s">
        <v>10</v>
      </c>
      <c r="F159" s="1" t="s">
        <v>15</v>
      </c>
      <c r="G159" s="1" t="s">
        <v>36</v>
      </c>
      <c r="H159" s="1" t="s">
        <v>18</v>
      </c>
    </row>
    <row r="160">
      <c r="A160" s="2">
        <v>45954.0</v>
      </c>
      <c r="B160" s="1" t="s">
        <v>26</v>
      </c>
      <c r="C160" s="1" t="s">
        <v>21</v>
      </c>
      <c r="D160" s="1">
        <v>25.0</v>
      </c>
      <c r="E160" s="1" t="s">
        <v>10</v>
      </c>
      <c r="F160" s="1" t="s">
        <v>11</v>
      </c>
      <c r="G160" s="1" t="s">
        <v>36</v>
      </c>
      <c r="H160" s="1" t="s">
        <v>20</v>
      </c>
    </row>
    <row r="161">
      <c r="A161" s="2">
        <v>45956.0</v>
      </c>
      <c r="B161" s="1" t="s">
        <v>8</v>
      </c>
      <c r="C161" s="1" t="s">
        <v>9</v>
      </c>
      <c r="D161" s="1">
        <v>14.0</v>
      </c>
      <c r="E161" s="1" t="s">
        <v>10</v>
      </c>
      <c r="F161" s="1" t="s">
        <v>11</v>
      </c>
      <c r="G161" s="1" t="s">
        <v>36</v>
      </c>
      <c r="H161" s="1" t="s">
        <v>13</v>
      </c>
    </row>
    <row r="162">
      <c r="A162" s="2">
        <v>45958.0</v>
      </c>
      <c r="B162" s="1" t="s">
        <v>8</v>
      </c>
      <c r="C162" s="1" t="s">
        <v>24</v>
      </c>
      <c r="D162" s="1">
        <v>16.0</v>
      </c>
      <c r="E162" s="1" t="s">
        <v>10</v>
      </c>
      <c r="F162" s="1" t="s">
        <v>15</v>
      </c>
      <c r="G162" s="1" t="s">
        <v>36</v>
      </c>
      <c r="H162" s="1" t="s">
        <v>16</v>
      </c>
    </row>
    <row r="163">
      <c r="A163" s="2">
        <v>45959.0</v>
      </c>
      <c r="B163" s="1" t="s">
        <v>14</v>
      </c>
      <c r="C163" s="1" t="s">
        <v>9</v>
      </c>
      <c r="D163" s="1">
        <v>21.0</v>
      </c>
      <c r="E163" s="1" t="s">
        <v>10</v>
      </c>
      <c r="F163" s="1" t="s">
        <v>11</v>
      </c>
      <c r="G163" s="1" t="s">
        <v>36</v>
      </c>
      <c r="H163" s="1" t="s">
        <v>18</v>
      </c>
    </row>
    <row r="164">
      <c r="A164" s="2">
        <v>45961.0</v>
      </c>
      <c r="B164" s="1" t="s">
        <v>17</v>
      </c>
      <c r="C164" s="1" t="s">
        <v>9</v>
      </c>
      <c r="D164" s="1">
        <v>10.0</v>
      </c>
      <c r="E164" s="1" t="s">
        <v>10</v>
      </c>
      <c r="F164" s="1" t="s">
        <v>11</v>
      </c>
      <c r="G164" s="1" t="s">
        <v>36</v>
      </c>
      <c r="H164" s="1" t="s">
        <v>20</v>
      </c>
    </row>
    <row r="165">
      <c r="A165" s="2">
        <v>45963.0</v>
      </c>
      <c r="B165" s="1" t="s">
        <v>8</v>
      </c>
      <c r="C165" s="1" t="s">
        <v>9</v>
      </c>
      <c r="D165" s="1">
        <v>14.0</v>
      </c>
      <c r="E165" s="1" t="s">
        <v>10</v>
      </c>
      <c r="F165" s="1" t="s">
        <v>15</v>
      </c>
      <c r="G165" s="1" t="s">
        <v>37</v>
      </c>
      <c r="H165" s="1" t="s">
        <v>13</v>
      </c>
    </row>
    <row r="166">
      <c r="A166" s="2">
        <v>45965.0</v>
      </c>
      <c r="B166" s="1" t="s">
        <v>19</v>
      </c>
      <c r="C166" s="1" t="s">
        <v>9</v>
      </c>
      <c r="D166" s="1">
        <v>7.0</v>
      </c>
      <c r="E166" s="1" t="s">
        <v>10</v>
      </c>
      <c r="F166" s="1" t="s">
        <v>11</v>
      </c>
      <c r="G166" s="1" t="s">
        <v>37</v>
      </c>
      <c r="H166" s="1" t="s">
        <v>16</v>
      </c>
    </row>
    <row r="167">
      <c r="A167" s="2">
        <v>45966.0</v>
      </c>
      <c r="B167" s="1" t="s">
        <v>8</v>
      </c>
      <c r="C167" s="1" t="s">
        <v>21</v>
      </c>
      <c r="D167" s="1">
        <v>14.0</v>
      </c>
      <c r="E167" s="1" t="s">
        <v>10</v>
      </c>
      <c r="F167" s="1" t="s">
        <v>11</v>
      </c>
      <c r="G167" s="1" t="s">
        <v>37</v>
      </c>
      <c r="H167" s="1" t="s">
        <v>18</v>
      </c>
    </row>
    <row r="168">
      <c r="A168" s="2">
        <v>45968.0</v>
      </c>
      <c r="B168" s="1" t="s">
        <v>17</v>
      </c>
      <c r="C168" s="1" t="s">
        <v>9</v>
      </c>
      <c r="D168" s="1">
        <v>12.0</v>
      </c>
      <c r="E168" s="1" t="s">
        <v>10</v>
      </c>
      <c r="F168" s="1" t="s">
        <v>15</v>
      </c>
      <c r="G168" s="1" t="s">
        <v>37</v>
      </c>
      <c r="H168" s="1" t="s">
        <v>20</v>
      </c>
    </row>
    <row r="169">
      <c r="A169" s="2">
        <v>45970.0</v>
      </c>
      <c r="B169" s="1" t="s">
        <v>14</v>
      </c>
      <c r="C169" s="1" t="s">
        <v>9</v>
      </c>
      <c r="D169" s="1">
        <v>22.0</v>
      </c>
      <c r="E169" s="1" t="s">
        <v>10</v>
      </c>
      <c r="F169" s="1" t="s">
        <v>11</v>
      </c>
      <c r="G169" s="1" t="s">
        <v>37</v>
      </c>
      <c r="H169" s="1" t="s">
        <v>13</v>
      </c>
    </row>
    <row r="170">
      <c r="A170" s="2">
        <v>45972.0</v>
      </c>
      <c r="B170" s="1" t="s">
        <v>8</v>
      </c>
      <c r="C170" s="1" t="s">
        <v>9</v>
      </c>
      <c r="D170" s="1">
        <v>14.0</v>
      </c>
      <c r="E170" s="1" t="s">
        <v>10</v>
      </c>
      <c r="F170" s="1" t="s">
        <v>11</v>
      </c>
      <c r="G170" s="1" t="s">
        <v>37</v>
      </c>
      <c r="H170" s="1" t="s">
        <v>16</v>
      </c>
    </row>
    <row r="171">
      <c r="A171" s="2">
        <v>45973.0</v>
      </c>
      <c r="B171" s="1" t="s">
        <v>23</v>
      </c>
      <c r="C171" s="1" t="s">
        <v>9</v>
      </c>
      <c r="D171" s="1">
        <v>19.0</v>
      </c>
      <c r="E171" s="1" t="s">
        <v>10</v>
      </c>
      <c r="F171" s="1" t="s">
        <v>15</v>
      </c>
      <c r="G171" s="1" t="s">
        <v>37</v>
      </c>
      <c r="H171" s="1" t="s">
        <v>18</v>
      </c>
    </row>
    <row r="172">
      <c r="A172" s="2">
        <v>45975.0</v>
      </c>
      <c r="B172" s="1" t="s">
        <v>17</v>
      </c>
      <c r="C172" s="1" t="s">
        <v>24</v>
      </c>
      <c r="D172" s="1">
        <v>9.0</v>
      </c>
      <c r="E172" s="1" t="s">
        <v>10</v>
      </c>
      <c r="F172" s="1" t="s">
        <v>11</v>
      </c>
      <c r="G172" s="1" t="s">
        <v>37</v>
      </c>
      <c r="H172" s="1" t="s">
        <v>20</v>
      </c>
    </row>
    <row r="173">
      <c r="A173" s="2">
        <v>45977.0</v>
      </c>
      <c r="B173" s="1" t="s">
        <v>8</v>
      </c>
      <c r="C173" s="1" t="s">
        <v>9</v>
      </c>
      <c r="D173" s="1">
        <v>14.0</v>
      </c>
      <c r="E173" s="1" t="s">
        <v>10</v>
      </c>
      <c r="F173" s="1" t="s">
        <v>11</v>
      </c>
      <c r="G173" s="1" t="s">
        <v>37</v>
      </c>
      <c r="H173" s="1" t="s">
        <v>13</v>
      </c>
    </row>
    <row r="174">
      <c r="A174" s="2">
        <v>45979.0</v>
      </c>
      <c r="B174" s="1" t="s">
        <v>19</v>
      </c>
      <c r="C174" s="1" t="s">
        <v>9</v>
      </c>
      <c r="D174" s="1">
        <v>7.0</v>
      </c>
      <c r="E174" s="1" t="s">
        <v>10</v>
      </c>
      <c r="F174" s="1" t="s">
        <v>15</v>
      </c>
      <c r="G174" s="1" t="s">
        <v>37</v>
      </c>
      <c r="H174" s="1" t="s">
        <v>16</v>
      </c>
    </row>
    <row r="175">
      <c r="A175" s="2">
        <v>45980.0</v>
      </c>
      <c r="B175" s="1" t="s">
        <v>14</v>
      </c>
      <c r="C175" s="1" t="s">
        <v>9</v>
      </c>
      <c r="D175" s="1">
        <v>24.0</v>
      </c>
      <c r="E175" s="1" t="s">
        <v>22</v>
      </c>
      <c r="F175" s="1" t="s">
        <v>11</v>
      </c>
      <c r="G175" s="1" t="s">
        <v>37</v>
      </c>
      <c r="H175" s="1" t="s">
        <v>18</v>
      </c>
    </row>
    <row r="176">
      <c r="A176" s="2">
        <v>45982.0</v>
      </c>
      <c r="B176" s="1" t="s">
        <v>8</v>
      </c>
      <c r="C176" s="1" t="s">
        <v>9</v>
      </c>
      <c r="D176" s="1">
        <v>14.0</v>
      </c>
      <c r="E176" s="1" t="s">
        <v>10</v>
      </c>
      <c r="F176" s="1" t="s">
        <v>11</v>
      </c>
      <c r="G176" s="1" t="s">
        <v>37</v>
      </c>
      <c r="H176" s="1" t="s">
        <v>20</v>
      </c>
    </row>
    <row r="177">
      <c r="A177" s="2">
        <v>45984.0</v>
      </c>
      <c r="B177" s="1" t="s">
        <v>17</v>
      </c>
      <c r="C177" s="1" t="s">
        <v>9</v>
      </c>
      <c r="D177" s="1">
        <v>10.0</v>
      </c>
      <c r="E177" s="1" t="s">
        <v>10</v>
      </c>
      <c r="F177" s="1" t="s">
        <v>15</v>
      </c>
      <c r="G177" s="1" t="s">
        <v>37</v>
      </c>
      <c r="H177" s="1" t="s">
        <v>13</v>
      </c>
    </row>
    <row r="178">
      <c r="A178" s="2">
        <v>45986.0</v>
      </c>
      <c r="B178" s="1" t="s">
        <v>26</v>
      </c>
      <c r="C178" s="1" t="s">
        <v>9</v>
      </c>
      <c r="D178" s="1">
        <v>26.0</v>
      </c>
      <c r="E178" s="1" t="s">
        <v>10</v>
      </c>
      <c r="F178" s="1" t="s">
        <v>11</v>
      </c>
      <c r="G178" s="1" t="s">
        <v>37</v>
      </c>
      <c r="H178" s="1" t="s">
        <v>16</v>
      </c>
    </row>
    <row r="179">
      <c r="A179" s="2">
        <v>45987.0</v>
      </c>
      <c r="B179" s="1" t="s">
        <v>8</v>
      </c>
      <c r="C179" s="1" t="s">
        <v>24</v>
      </c>
      <c r="D179" s="1">
        <v>14.0</v>
      </c>
      <c r="E179" s="1" t="s">
        <v>10</v>
      </c>
      <c r="F179" s="1" t="s">
        <v>11</v>
      </c>
      <c r="G179" s="1" t="s">
        <v>37</v>
      </c>
      <c r="H179" s="1" t="s">
        <v>18</v>
      </c>
    </row>
    <row r="180">
      <c r="A180" s="2">
        <v>45989.0</v>
      </c>
      <c r="B180" s="1" t="s">
        <v>8</v>
      </c>
      <c r="C180" s="1" t="s">
        <v>9</v>
      </c>
      <c r="D180" s="1">
        <v>15.0</v>
      </c>
      <c r="E180" s="1" t="s">
        <v>10</v>
      </c>
      <c r="F180" s="1" t="s">
        <v>15</v>
      </c>
      <c r="G180" s="1" t="s">
        <v>37</v>
      </c>
      <c r="H180" s="1" t="s">
        <v>20</v>
      </c>
    </row>
    <row r="181">
      <c r="A181" s="2">
        <v>45991.0</v>
      </c>
      <c r="B181" s="1" t="s">
        <v>17</v>
      </c>
      <c r="C181" s="1" t="s">
        <v>9</v>
      </c>
      <c r="D181" s="1">
        <v>11.0</v>
      </c>
      <c r="E181" s="1" t="s">
        <v>10</v>
      </c>
      <c r="F181" s="1" t="s">
        <v>11</v>
      </c>
      <c r="G181" s="1" t="s">
        <v>37</v>
      </c>
      <c r="H181" s="1" t="s">
        <v>13</v>
      </c>
    </row>
    <row r="182">
      <c r="A182" s="2">
        <v>45993.0</v>
      </c>
      <c r="B182" s="1" t="s">
        <v>14</v>
      </c>
      <c r="C182" s="1" t="s">
        <v>9</v>
      </c>
      <c r="D182" s="1">
        <v>21.0</v>
      </c>
      <c r="E182" s="1" t="s">
        <v>10</v>
      </c>
      <c r="F182" s="1" t="s">
        <v>11</v>
      </c>
      <c r="G182" s="1" t="s">
        <v>38</v>
      </c>
      <c r="H182" s="1" t="s">
        <v>16</v>
      </c>
    </row>
    <row r="183">
      <c r="A183" s="2">
        <v>45994.0</v>
      </c>
      <c r="B183" s="1" t="s">
        <v>8</v>
      </c>
      <c r="C183" s="1" t="s">
        <v>9</v>
      </c>
      <c r="D183" s="1">
        <v>14.0</v>
      </c>
      <c r="E183" s="1" t="s">
        <v>10</v>
      </c>
      <c r="F183" s="1" t="s">
        <v>15</v>
      </c>
      <c r="G183" s="1" t="s">
        <v>38</v>
      </c>
      <c r="H183" s="1" t="s">
        <v>18</v>
      </c>
    </row>
    <row r="184">
      <c r="A184" s="2">
        <v>45996.0</v>
      </c>
      <c r="B184" s="1" t="s">
        <v>19</v>
      </c>
      <c r="C184" s="1" t="s">
        <v>9</v>
      </c>
      <c r="D184" s="1">
        <v>7.0</v>
      </c>
      <c r="E184" s="1" t="s">
        <v>10</v>
      </c>
      <c r="F184" s="1" t="s">
        <v>11</v>
      </c>
      <c r="G184" s="1" t="s">
        <v>38</v>
      </c>
      <c r="H184" s="1" t="s">
        <v>20</v>
      </c>
    </row>
    <row r="185">
      <c r="A185" s="2">
        <v>45998.0</v>
      </c>
      <c r="B185" s="1" t="s">
        <v>17</v>
      </c>
      <c r="C185" s="1" t="s">
        <v>9</v>
      </c>
      <c r="D185" s="1">
        <v>10.0</v>
      </c>
      <c r="E185" s="1" t="s">
        <v>10</v>
      </c>
      <c r="F185" s="1" t="s">
        <v>11</v>
      </c>
      <c r="G185" s="1" t="s">
        <v>38</v>
      </c>
      <c r="H185" s="1" t="s">
        <v>13</v>
      </c>
    </row>
    <row r="186">
      <c r="A186" s="2">
        <v>46000.0</v>
      </c>
      <c r="B186" s="1" t="s">
        <v>8</v>
      </c>
      <c r="C186" s="1" t="s">
        <v>21</v>
      </c>
      <c r="D186" s="1">
        <v>14.0</v>
      </c>
      <c r="E186" s="1" t="s">
        <v>10</v>
      </c>
      <c r="F186" s="1" t="s">
        <v>15</v>
      </c>
      <c r="G186" s="1" t="s">
        <v>38</v>
      </c>
      <c r="H186" s="1" t="s">
        <v>16</v>
      </c>
    </row>
    <row r="187">
      <c r="A187" s="2">
        <v>46001.0</v>
      </c>
      <c r="B187" s="1" t="s">
        <v>8</v>
      </c>
      <c r="C187" s="1" t="s">
        <v>9</v>
      </c>
      <c r="D187" s="1">
        <v>14.0</v>
      </c>
      <c r="E187" s="1" t="s">
        <v>10</v>
      </c>
      <c r="F187" s="1" t="s">
        <v>11</v>
      </c>
      <c r="G187" s="1" t="s">
        <v>38</v>
      </c>
      <c r="H187" s="1" t="s">
        <v>18</v>
      </c>
    </row>
    <row r="188">
      <c r="A188" s="2">
        <v>46003.0</v>
      </c>
      <c r="B188" s="1" t="s">
        <v>23</v>
      </c>
      <c r="C188" s="1" t="s">
        <v>9</v>
      </c>
      <c r="D188" s="1">
        <v>18.0</v>
      </c>
      <c r="E188" s="1" t="s">
        <v>10</v>
      </c>
      <c r="F188" s="1" t="s">
        <v>11</v>
      </c>
      <c r="G188" s="1" t="s">
        <v>38</v>
      </c>
      <c r="H188" s="1" t="s">
        <v>20</v>
      </c>
    </row>
    <row r="189">
      <c r="A189" s="2">
        <v>46005.0</v>
      </c>
      <c r="B189" s="1" t="s">
        <v>17</v>
      </c>
      <c r="C189" s="1" t="s">
        <v>24</v>
      </c>
      <c r="D189" s="1">
        <v>12.0</v>
      </c>
      <c r="E189" s="1" t="s">
        <v>10</v>
      </c>
      <c r="F189" s="1" t="s">
        <v>15</v>
      </c>
      <c r="G189" s="1" t="s">
        <v>38</v>
      </c>
      <c r="H189" s="1" t="s">
        <v>13</v>
      </c>
    </row>
    <row r="190">
      <c r="A190" s="2">
        <v>46007.0</v>
      </c>
      <c r="B190" s="1" t="s">
        <v>14</v>
      </c>
      <c r="C190" s="1" t="s">
        <v>9</v>
      </c>
      <c r="D190" s="1">
        <v>23.0</v>
      </c>
      <c r="E190" s="1" t="s">
        <v>10</v>
      </c>
      <c r="F190" s="1" t="s">
        <v>11</v>
      </c>
      <c r="G190" s="1" t="s">
        <v>38</v>
      </c>
      <c r="H190" s="1" t="s">
        <v>16</v>
      </c>
    </row>
    <row r="191">
      <c r="A191" s="2">
        <v>46008.0</v>
      </c>
      <c r="B191" s="1" t="s">
        <v>8</v>
      </c>
      <c r="C191" s="1" t="s">
        <v>9</v>
      </c>
      <c r="D191" s="1">
        <v>14.0</v>
      </c>
      <c r="E191" s="1" t="s">
        <v>10</v>
      </c>
      <c r="F191" s="1" t="s">
        <v>11</v>
      </c>
      <c r="G191" s="1" t="s">
        <v>38</v>
      </c>
      <c r="H191" s="1" t="s">
        <v>18</v>
      </c>
    </row>
    <row r="192">
      <c r="A192" s="2">
        <v>46010.0</v>
      </c>
      <c r="B192" s="1" t="s">
        <v>19</v>
      </c>
      <c r="C192" s="1" t="s">
        <v>9</v>
      </c>
      <c r="D192" s="1">
        <v>7.0</v>
      </c>
      <c r="E192" s="1" t="s">
        <v>10</v>
      </c>
      <c r="F192" s="1" t="s">
        <v>15</v>
      </c>
      <c r="G192" s="1" t="s">
        <v>38</v>
      </c>
      <c r="H192" s="1" t="s">
        <v>20</v>
      </c>
    </row>
    <row r="193">
      <c r="A193" s="2">
        <v>46012.0</v>
      </c>
      <c r="B193" s="1" t="s">
        <v>8</v>
      </c>
      <c r="C193" s="1" t="s">
        <v>9</v>
      </c>
      <c r="D193" s="1">
        <v>21.0</v>
      </c>
      <c r="E193" s="1" t="s">
        <v>10</v>
      </c>
      <c r="F193" s="1" t="s">
        <v>11</v>
      </c>
      <c r="G193" s="1" t="s">
        <v>38</v>
      </c>
      <c r="H193" s="1" t="s">
        <v>13</v>
      </c>
    </row>
    <row r="194">
      <c r="A194" s="2">
        <v>46014.0</v>
      </c>
      <c r="B194" s="1" t="s">
        <v>17</v>
      </c>
      <c r="C194" s="1" t="s">
        <v>9</v>
      </c>
      <c r="D194" s="1">
        <v>14.0</v>
      </c>
      <c r="E194" s="1" t="s">
        <v>10</v>
      </c>
      <c r="F194" s="1" t="s">
        <v>11</v>
      </c>
      <c r="G194" s="1" t="s">
        <v>38</v>
      </c>
      <c r="H194" s="1" t="s">
        <v>16</v>
      </c>
    </row>
    <row r="195">
      <c r="A195" s="2">
        <v>46015.0</v>
      </c>
      <c r="B195" s="1" t="s">
        <v>26</v>
      </c>
      <c r="C195" s="1" t="s">
        <v>9</v>
      </c>
      <c r="D195" s="1">
        <v>28.0</v>
      </c>
      <c r="E195" s="1" t="s">
        <v>22</v>
      </c>
      <c r="F195" s="1" t="s">
        <v>15</v>
      </c>
      <c r="G195" s="1" t="s">
        <v>38</v>
      </c>
      <c r="H195" s="1" t="s">
        <v>18</v>
      </c>
    </row>
    <row r="196">
      <c r="A196" s="2">
        <v>46017.0</v>
      </c>
      <c r="B196" s="1" t="s">
        <v>8</v>
      </c>
      <c r="C196" s="1" t="s">
        <v>9</v>
      </c>
      <c r="D196" s="1">
        <v>14.0</v>
      </c>
      <c r="E196" s="1" t="s">
        <v>10</v>
      </c>
      <c r="F196" s="1" t="s">
        <v>11</v>
      </c>
      <c r="G196" s="1" t="s">
        <v>38</v>
      </c>
      <c r="H196" s="1" t="s">
        <v>20</v>
      </c>
    </row>
    <row r="197">
      <c r="A197" s="2">
        <v>46019.0</v>
      </c>
      <c r="B197" s="1" t="s">
        <v>8</v>
      </c>
      <c r="C197" s="1" t="s">
        <v>24</v>
      </c>
      <c r="D197" s="1">
        <v>15.0</v>
      </c>
      <c r="E197" s="1" t="s">
        <v>10</v>
      </c>
      <c r="F197" s="1" t="s">
        <v>11</v>
      </c>
      <c r="G197" s="1" t="s">
        <v>38</v>
      </c>
      <c r="H197" s="1" t="s">
        <v>13</v>
      </c>
    </row>
    <row r="198">
      <c r="A198" s="2">
        <v>46021.0</v>
      </c>
      <c r="B198" s="1" t="s">
        <v>17</v>
      </c>
      <c r="C198" s="1" t="s">
        <v>9</v>
      </c>
      <c r="D198" s="1">
        <v>10.0</v>
      </c>
      <c r="E198" s="1" t="s">
        <v>10</v>
      </c>
      <c r="F198" s="1" t="s">
        <v>15</v>
      </c>
      <c r="G198" s="1" t="s">
        <v>38</v>
      </c>
      <c r="H198" s="1" t="s">
        <v>16</v>
      </c>
    </row>
    <row r="199">
      <c r="A199" s="2">
        <v>45660.0</v>
      </c>
      <c r="B199" s="1" t="s">
        <v>14</v>
      </c>
      <c r="C199" s="1" t="s">
        <v>9</v>
      </c>
      <c r="D199" s="1">
        <v>22.0</v>
      </c>
      <c r="E199" s="1" t="s">
        <v>10</v>
      </c>
      <c r="F199" s="1" t="s">
        <v>11</v>
      </c>
      <c r="G199" s="1" t="s">
        <v>12</v>
      </c>
      <c r="H199" s="1" t="s">
        <v>20</v>
      </c>
    </row>
    <row r="200">
      <c r="A200" s="2">
        <v>45663.0</v>
      </c>
      <c r="B200" s="1" t="s">
        <v>8</v>
      </c>
      <c r="C200" s="1" t="s">
        <v>9</v>
      </c>
      <c r="D200" s="1">
        <v>14.0</v>
      </c>
      <c r="E200" s="1" t="s">
        <v>10</v>
      </c>
      <c r="F200" s="1" t="s">
        <v>11</v>
      </c>
      <c r="G200" s="1" t="s">
        <v>12</v>
      </c>
      <c r="H200" s="1" t="s">
        <v>39</v>
      </c>
    </row>
    <row r="201">
      <c r="A201" s="2">
        <v>45666.0</v>
      </c>
      <c r="B201" s="1" t="s">
        <v>19</v>
      </c>
      <c r="C201" s="1" t="s">
        <v>9</v>
      </c>
      <c r="D201" s="1">
        <v>7.0</v>
      </c>
      <c r="E201" s="1" t="s">
        <v>10</v>
      </c>
      <c r="F201" s="1" t="s">
        <v>15</v>
      </c>
      <c r="G201" s="1" t="s">
        <v>12</v>
      </c>
      <c r="H201" s="1" t="s">
        <v>33</v>
      </c>
    </row>
    <row r="202">
      <c r="A202" s="2">
        <v>45668.0</v>
      </c>
      <c r="B202" s="1" t="s">
        <v>17</v>
      </c>
      <c r="C202" s="1" t="s">
        <v>9</v>
      </c>
      <c r="D202" s="1">
        <v>9.0</v>
      </c>
      <c r="E202" s="1" t="s">
        <v>10</v>
      </c>
      <c r="F202" s="1" t="s">
        <v>11</v>
      </c>
      <c r="G202" s="1" t="s">
        <v>12</v>
      </c>
      <c r="H202" s="1" t="s">
        <v>40</v>
      </c>
    </row>
    <row r="203">
      <c r="A203" s="2">
        <v>45670.0</v>
      </c>
      <c r="B203" s="1" t="s">
        <v>8</v>
      </c>
      <c r="C203" s="1" t="s">
        <v>21</v>
      </c>
      <c r="D203" s="1">
        <v>14.0</v>
      </c>
      <c r="E203" s="1" t="s">
        <v>10</v>
      </c>
      <c r="F203" s="1" t="s">
        <v>11</v>
      </c>
      <c r="G203" s="1" t="s">
        <v>12</v>
      </c>
      <c r="H203" s="1" t="s">
        <v>39</v>
      </c>
    </row>
    <row r="204">
      <c r="A204" s="2">
        <v>45673.0</v>
      </c>
      <c r="B204" s="1" t="s">
        <v>23</v>
      </c>
      <c r="C204" s="1" t="s">
        <v>9</v>
      </c>
      <c r="D204" s="1">
        <v>20.0</v>
      </c>
      <c r="E204" s="1" t="s">
        <v>10</v>
      </c>
      <c r="F204" s="1" t="s">
        <v>15</v>
      </c>
      <c r="G204" s="1" t="s">
        <v>12</v>
      </c>
      <c r="H204" s="1" t="s">
        <v>33</v>
      </c>
    </row>
    <row r="205">
      <c r="A205" s="2">
        <v>45675.0</v>
      </c>
      <c r="B205" s="1" t="s">
        <v>17</v>
      </c>
      <c r="C205" s="1" t="s">
        <v>24</v>
      </c>
      <c r="D205" s="1">
        <v>11.0</v>
      </c>
      <c r="E205" s="1" t="s">
        <v>10</v>
      </c>
      <c r="F205" s="1" t="s">
        <v>11</v>
      </c>
      <c r="G205" s="1" t="s">
        <v>12</v>
      </c>
      <c r="H205" s="1" t="s">
        <v>40</v>
      </c>
    </row>
    <row r="206">
      <c r="A206" s="2">
        <v>45677.0</v>
      </c>
      <c r="B206" s="1" t="s">
        <v>8</v>
      </c>
      <c r="C206" s="1" t="s">
        <v>9</v>
      </c>
      <c r="D206" s="1">
        <v>14.0</v>
      </c>
      <c r="E206" s="1" t="s">
        <v>10</v>
      </c>
      <c r="F206" s="1" t="s">
        <v>11</v>
      </c>
      <c r="G206" s="1" t="s">
        <v>12</v>
      </c>
      <c r="H206" s="1" t="s">
        <v>39</v>
      </c>
    </row>
    <row r="207">
      <c r="A207" s="2">
        <v>45680.0</v>
      </c>
      <c r="B207" s="1" t="s">
        <v>14</v>
      </c>
      <c r="C207" s="1" t="s">
        <v>9</v>
      </c>
      <c r="D207" s="1">
        <v>24.0</v>
      </c>
      <c r="E207" s="1" t="s">
        <v>10</v>
      </c>
      <c r="F207" s="1" t="s">
        <v>15</v>
      </c>
      <c r="G207" s="1" t="s">
        <v>12</v>
      </c>
      <c r="H207" s="1" t="s">
        <v>33</v>
      </c>
    </row>
    <row r="208">
      <c r="A208" s="2">
        <v>45682.0</v>
      </c>
      <c r="B208" s="1" t="s">
        <v>19</v>
      </c>
      <c r="C208" s="1" t="s">
        <v>9</v>
      </c>
      <c r="D208" s="1">
        <v>7.0</v>
      </c>
      <c r="E208" s="1" t="s">
        <v>10</v>
      </c>
      <c r="F208" s="1" t="s">
        <v>11</v>
      </c>
      <c r="G208" s="1" t="s">
        <v>12</v>
      </c>
      <c r="H208" s="1" t="s">
        <v>40</v>
      </c>
    </row>
    <row r="209">
      <c r="A209" s="2">
        <v>45684.0</v>
      </c>
      <c r="B209" s="1" t="s">
        <v>8</v>
      </c>
      <c r="C209" s="1" t="s">
        <v>9</v>
      </c>
      <c r="D209" s="1">
        <v>14.0</v>
      </c>
      <c r="E209" s="1" t="s">
        <v>10</v>
      </c>
      <c r="F209" s="1" t="s">
        <v>11</v>
      </c>
      <c r="G209" s="1" t="s">
        <v>12</v>
      </c>
      <c r="H209" s="1" t="s">
        <v>39</v>
      </c>
    </row>
    <row r="210">
      <c r="A210" s="2">
        <v>45687.0</v>
      </c>
      <c r="B210" s="1" t="s">
        <v>26</v>
      </c>
      <c r="C210" s="1" t="s">
        <v>21</v>
      </c>
      <c r="D210" s="1">
        <v>27.0</v>
      </c>
      <c r="E210" s="1" t="s">
        <v>22</v>
      </c>
      <c r="F210" s="1" t="s">
        <v>15</v>
      </c>
      <c r="G210" s="1" t="s">
        <v>12</v>
      </c>
      <c r="H210" s="1" t="s">
        <v>33</v>
      </c>
    </row>
    <row r="211">
      <c r="A211" s="2">
        <v>45689.0</v>
      </c>
      <c r="B211" s="1" t="s">
        <v>17</v>
      </c>
      <c r="C211" s="1" t="s">
        <v>9</v>
      </c>
      <c r="D211" s="1">
        <v>10.0</v>
      </c>
      <c r="E211" s="1" t="s">
        <v>10</v>
      </c>
      <c r="F211" s="1" t="s">
        <v>11</v>
      </c>
      <c r="G211" s="1" t="s">
        <v>27</v>
      </c>
      <c r="H211" s="1" t="s">
        <v>40</v>
      </c>
    </row>
    <row r="212">
      <c r="A212" s="2">
        <v>45691.0</v>
      </c>
      <c r="B212" s="1" t="s">
        <v>8</v>
      </c>
      <c r="C212" s="1" t="s">
        <v>9</v>
      </c>
      <c r="D212" s="1">
        <v>14.0</v>
      </c>
      <c r="E212" s="1" t="s">
        <v>10</v>
      </c>
      <c r="F212" s="1" t="s">
        <v>11</v>
      </c>
      <c r="G212" s="1" t="s">
        <v>27</v>
      </c>
      <c r="H212" s="1" t="s">
        <v>39</v>
      </c>
    </row>
    <row r="213">
      <c r="A213" s="2">
        <v>45694.0</v>
      </c>
      <c r="B213" s="1" t="s">
        <v>14</v>
      </c>
      <c r="C213" s="1" t="s">
        <v>24</v>
      </c>
      <c r="D213" s="1">
        <v>21.0</v>
      </c>
      <c r="E213" s="1" t="s">
        <v>10</v>
      </c>
      <c r="F213" s="1" t="s">
        <v>15</v>
      </c>
      <c r="G213" s="1" t="s">
        <v>27</v>
      </c>
      <c r="H213" s="1" t="s">
        <v>33</v>
      </c>
    </row>
    <row r="214">
      <c r="A214" s="2">
        <v>45696.0</v>
      </c>
      <c r="B214" s="1" t="s">
        <v>19</v>
      </c>
      <c r="C214" s="1" t="s">
        <v>9</v>
      </c>
      <c r="D214" s="1">
        <v>7.0</v>
      </c>
      <c r="E214" s="1" t="s">
        <v>10</v>
      </c>
      <c r="F214" s="1" t="s">
        <v>11</v>
      </c>
      <c r="G214" s="1" t="s">
        <v>27</v>
      </c>
      <c r="H214" s="1" t="s">
        <v>40</v>
      </c>
    </row>
    <row r="215">
      <c r="A215" s="2">
        <v>45698.0</v>
      </c>
      <c r="B215" s="1" t="s">
        <v>8</v>
      </c>
      <c r="C215" s="1" t="s">
        <v>9</v>
      </c>
      <c r="D215" s="1">
        <v>14.0</v>
      </c>
      <c r="E215" s="1" t="s">
        <v>10</v>
      </c>
      <c r="F215" s="1" t="s">
        <v>11</v>
      </c>
      <c r="G215" s="1" t="s">
        <v>27</v>
      </c>
      <c r="H215" s="1" t="s">
        <v>39</v>
      </c>
    </row>
    <row r="216">
      <c r="A216" s="2">
        <v>45701.0</v>
      </c>
      <c r="B216" s="1" t="s">
        <v>17</v>
      </c>
      <c r="C216" s="1" t="s">
        <v>9</v>
      </c>
      <c r="D216" s="1">
        <v>12.0</v>
      </c>
      <c r="E216" s="1" t="s">
        <v>10</v>
      </c>
      <c r="F216" s="1" t="s">
        <v>15</v>
      </c>
      <c r="G216" s="1" t="s">
        <v>27</v>
      </c>
      <c r="H216" s="1" t="s">
        <v>33</v>
      </c>
    </row>
    <row r="217">
      <c r="A217" s="2">
        <v>45703.0</v>
      </c>
      <c r="B217" s="1" t="s">
        <v>8</v>
      </c>
      <c r="C217" s="1" t="s">
        <v>21</v>
      </c>
      <c r="D217" s="1">
        <v>15.0</v>
      </c>
      <c r="E217" s="1" t="s">
        <v>10</v>
      </c>
      <c r="F217" s="1" t="s">
        <v>11</v>
      </c>
      <c r="G217" s="1" t="s">
        <v>27</v>
      </c>
      <c r="H217" s="1" t="s">
        <v>40</v>
      </c>
    </row>
    <row r="218">
      <c r="A218" s="2">
        <v>45705.0</v>
      </c>
      <c r="B218" s="1" t="s">
        <v>23</v>
      </c>
      <c r="C218" s="1" t="s">
        <v>9</v>
      </c>
      <c r="D218" s="1">
        <v>19.0</v>
      </c>
      <c r="E218" s="1" t="s">
        <v>10</v>
      </c>
      <c r="F218" s="1" t="s">
        <v>11</v>
      </c>
      <c r="G218" s="1" t="s">
        <v>27</v>
      </c>
      <c r="H218" s="1" t="s">
        <v>39</v>
      </c>
    </row>
    <row r="219">
      <c r="A219" s="2">
        <v>45708.0</v>
      </c>
      <c r="B219" s="1" t="s">
        <v>14</v>
      </c>
      <c r="C219" s="1" t="s">
        <v>9</v>
      </c>
      <c r="D219" s="1">
        <v>22.0</v>
      </c>
      <c r="E219" s="1" t="s">
        <v>10</v>
      </c>
      <c r="F219" s="1" t="s">
        <v>15</v>
      </c>
      <c r="G219" s="1" t="s">
        <v>27</v>
      </c>
      <c r="H219" s="1" t="s">
        <v>33</v>
      </c>
    </row>
    <row r="220">
      <c r="A220" s="2">
        <v>45710.0</v>
      </c>
      <c r="B220" s="1" t="s">
        <v>8</v>
      </c>
      <c r="C220" s="1" t="s">
        <v>9</v>
      </c>
      <c r="D220" s="1">
        <v>14.0</v>
      </c>
      <c r="E220" s="1" t="s">
        <v>10</v>
      </c>
      <c r="F220" s="1" t="s">
        <v>11</v>
      </c>
      <c r="G220" s="1" t="s">
        <v>27</v>
      </c>
      <c r="H220" s="1" t="s">
        <v>40</v>
      </c>
    </row>
    <row r="221">
      <c r="A221" s="2">
        <v>45712.0</v>
      </c>
      <c r="B221" s="1" t="s">
        <v>19</v>
      </c>
      <c r="C221" s="1" t="s">
        <v>9</v>
      </c>
      <c r="D221" s="1">
        <v>7.0</v>
      </c>
      <c r="E221" s="1" t="s">
        <v>10</v>
      </c>
      <c r="F221" s="1" t="s">
        <v>11</v>
      </c>
      <c r="G221" s="1" t="s">
        <v>27</v>
      </c>
      <c r="H221" s="1" t="s">
        <v>39</v>
      </c>
    </row>
    <row r="222">
      <c r="A222" s="2">
        <v>45715.0</v>
      </c>
      <c r="B222" s="1" t="s">
        <v>17</v>
      </c>
      <c r="C222" s="1" t="s">
        <v>24</v>
      </c>
      <c r="D222" s="1">
        <v>10.0</v>
      </c>
      <c r="E222" s="1" t="s">
        <v>10</v>
      </c>
      <c r="F222" s="1" t="s">
        <v>15</v>
      </c>
      <c r="G222" s="1" t="s">
        <v>27</v>
      </c>
      <c r="H222" s="1" t="s">
        <v>33</v>
      </c>
    </row>
    <row r="223">
      <c r="A223" s="2">
        <v>45717.0</v>
      </c>
      <c r="B223" s="1" t="s">
        <v>8</v>
      </c>
      <c r="C223" s="1" t="s">
        <v>9</v>
      </c>
      <c r="D223" s="1">
        <v>14.0</v>
      </c>
      <c r="E223" s="1" t="s">
        <v>10</v>
      </c>
      <c r="F223" s="1" t="s">
        <v>11</v>
      </c>
      <c r="G223" s="1" t="s">
        <v>28</v>
      </c>
      <c r="H223" s="1" t="s">
        <v>40</v>
      </c>
    </row>
    <row r="224">
      <c r="A224" s="2">
        <v>45719.0</v>
      </c>
      <c r="B224" s="1" t="s">
        <v>14</v>
      </c>
      <c r="C224" s="1" t="s">
        <v>9</v>
      </c>
      <c r="D224" s="1">
        <v>23.0</v>
      </c>
      <c r="E224" s="1" t="s">
        <v>10</v>
      </c>
      <c r="F224" s="1" t="s">
        <v>11</v>
      </c>
      <c r="G224" s="1" t="s">
        <v>28</v>
      </c>
      <c r="H224" s="1" t="s">
        <v>39</v>
      </c>
    </row>
    <row r="225">
      <c r="A225" s="2">
        <v>45722.0</v>
      </c>
      <c r="B225" s="1" t="s">
        <v>8</v>
      </c>
      <c r="C225" s="1" t="s">
        <v>9</v>
      </c>
      <c r="D225" s="1">
        <v>14.0</v>
      </c>
      <c r="E225" s="1" t="s">
        <v>10</v>
      </c>
      <c r="F225" s="1" t="s">
        <v>15</v>
      </c>
      <c r="G225" s="1" t="s">
        <v>28</v>
      </c>
      <c r="H225" s="1" t="s">
        <v>33</v>
      </c>
    </row>
    <row r="226">
      <c r="A226" s="2">
        <v>45724.0</v>
      </c>
      <c r="B226" s="1" t="s">
        <v>19</v>
      </c>
      <c r="C226" s="1" t="s">
        <v>9</v>
      </c>
      <c r="D226" s="1">
        <v>7.0</v>
      </c>
      <c r="E226" s="1" t="s">
        <v>10</v>
      </c>
      <c r="F226" s="1" t="s">
        <v>11</v>
      </c>
      <c r="G226" s="1" t="s">
        <v>28</v>
      </c>
      <c r="H226" s="1" t="s">
        <v>40</v>
      </c>
    </row>
    <row r="227">
      <c r="A227" s="2">
        <v>45726.0</v>
      </c>
      <c r="B227" s="1" t="s">
        <v>17</v>
      </c>
      <c r="C227" s="1" t="s">
        <v>9</v>
      </c>
      <c r="D227" s="1">
        <v>11.0</v>
      </c>
      <c r="E227" s="1" t="s">
        <v>10</v>
      </c>
      <c r="F227" s="1" t="s">
        <v>11</v>
      </c>
      <c r="G227" s="1" t="s">
        <v>28</v>
      </c>
      <c r="H227" s="1" t="s">
        <v>39</v>
      </c>
    </row>
    <row r="228">
      <c r="A228" s="2">
        <v>45729.0</v>
      </c>
      <c r="B228" s="1" t="s">
        <v>26</v>
      </c>
      <c r="C228" s="1" t="s">
        <v>9</v>
      </c>
      <c r="D228" s="1">
        <v>25.0</v>
      </c>
      <c r="E228" s="1" t="s">
        <v>10</v>
      </c>
      <c r="F228" s="1" t="s">
        <v>15</v>
      </c>
      <c r="G228" s="1" t="s">
        <v>28</v>
      </c>
      <c r="H228" s="1" t="s">
        <v>33</v>
      </c>
    </row>
    <row r="229">
      <c r="A229" s="2">
        <v>45731.0</v>
      </c>
      <c r="B229" s="1" t="s">
        <v>8</v>
      </c>
      <c r="C229" s="1" t="s">
        <v>21</v>
      </c>
      <c r="D229" s="1">
        <v>14.0</v>
      </c>
      <c r="E229" s="1" t="s">
        <v>10</v>
      </c>
      <c r="F229" s="1" t="s">
        <v>11</v>
      </c>
      <c r="G229" s="1" t="s">
        <v>28</v>
      </c>
      <c r="H229" s="1" t="s">
        <v>40</v>
      </c>
    </row>
    <row r="230">
      <c r="A230" s="2">
        <v>45733.0</v>
      </c>
      <c r="B230" s="1" t="s">
        <v>8</v>
      </c>
      <c r="C230" s="1" t="s">
        <v>24</v>
      </c>
      <c r="D230" s="1">
        <v>16.0</v>
      </c>
      <c r="E230" s="1" t="s">
        <v>22</v>
      </c>
      <c r="F230" s="1" t="s">
        <v>11</v>
      </c>
      <c r="G230" s="1" t="s">
        <v>28</v>
      </c>
      <c r="H230" s="1" t="s">
        <v>39</v>
      </c>
    </row>
    <row r="231">
      <c r="A231" s="2">
        <v>45736.0</v>
      </c>
      <c r="B231" s="1" t="s">
        <v>23</v>
      </c>
      <c r="C231" s="1" t="s">
        <v>9</v>
      </c>
      <c r="D231" s="1">
        <v>18.0</v>
      </c>
      <c r="E231" s="1" t="s">
        <v>10</v>
      </c>
      <c r="F231" s="1" t="s">
        <v>15</v>
      </c>
      <c r="G231" s="1" t="s">
        <v>28</v>
      </c>
      <c r="H231" s="1" t="s">
        <v>33</v>
      </c>
    </row>
    <row r="232">
      <c r="A232" s="2">
        <v>45738.0</v>
      </c>
      <c r="B232" s="1" t="s">
        <v>17</v>
      </c>
      <c r="C232" s="1" t="s">
        <v>9</v>
      </c>
      <c r="D232" s="1">
        <v>9.0</v>
      </c>
      <c r="E232" s="1" t="s">
        <v>10</v>
      </c>
      <c r="F232" s="1" t="s">
        <v>11</v>
      </c>
      <c r="G232" s="1" t="s">
        <v>28</v>
      </c>
      <c r="H232" s="1" t="s">
        <v>40</v>
      </c>
    </row>
    <row r="233">
      <c r="A233" s="2">
        <v>45740.0</v>
      </c>
      <c r="B233" s="1" t="s">
        <v>14</v>
      </c>
      <c r="C233" s="1" t="s">
        <v>9</v>
      </c>
      <c r="D233" s="1">
        <v>21.0</v>
      </c>
      <c r="E233" s="1" t="s">
        <v>10</v>
      </c>
      <c r="F233" s="1" t="s">
        <v>11</v>
      </c>
      <c r="G233" s="1" t="s">
        <v>28</v>
      </c>
      <c r="H233" s="1" t="s">
        <v>39</v>
      </c>
    </row>
    <row r="234">
      <c r="A234" s="2">
        <v>45743.0</v>
      </c>
      <c r="B234" s="1" t="s">
        <v>8</v>
      </c>
      <c r="C234" s="1" t="s">
        <v>9</v>
      </c>
      <c r="D234" s="1">
        <v>14.0</v>
      </c>
      <c r="E234" s="1" t="s">
        <v>10</v>
      </c>
      <c r="F234" s="1" t="s">
        <v>15</v>
      </c>
      <c r="G234" s="1" t="s">
        <v>28</v>
      </c>
      <c r="H234" s="1" t="s">
        <v>33</v>
      </c>
    </row>
    <row r="235">
      <c r="A235" s="2">
        <v>45745.0</v>
      </c>
      <c r="B235" s="1" t="s">
        <v>19</v>
      </c>
      <c r="C235" s="1" t="s">
        <v>9</v>
      </c>
      <c r="D235" s="1">
        <v>7.0</v>
      </c>
      <c r="E235" s="1" t="s">
        <v>10</v>
      </c>
      <c r="F235" s="1" t="s">
        <v>11</v>
      </c>
      <c r="G235" s="1" t="s">
        <v>28</v>
      </c>
      <c r="H235" s="1" t="s">
        <v>40</v>
      </c>
    </row>
    <row r="236">
      <c r="A236" s="2">
        <v>45747.0</v>
      </c>
      <c r="B236" s="1" t="s">
        <v>8</v>
      </c>
      <c r="C236" s="1" t="s">
        <v>9</v>
      </c>
      <c r="D236" s="1">
        <v>14.0</v>
      </c>
      <c r="E236" s="1" t="s">
        <v>10</v>
      </c>
      <c r="F236" s="1" t="s">
        <v>11</v>
      </c>
      <c r="G236" s="1" t="s">
        <v>28</v>
      </c>
      <c r="H236" s="1" t="s">
        <v>39</v>
      </c>
    </row>
    <row r="237">
      <c r="A237" s="2">
        <v>45750.0</v>
      </c>
      <c r="B237" s="1" t="s">
        <v>17</v>
      </c>
      <c r="C237" s="1" t="s">
        <v>24</v>
      </c>
      <c r="D237" s="1">
        <v>10.0</v>
      </c>
      <c r="E237" s="1" t="s">
        <v>10</v>
      </c>
      <c r="F237" s="1" t="s">
        <v>15</v>
      </c>
      <c r="G237" s="1" t="s">
        <v>29</v>
      </c>
      <c r="H237" s="1" t="s">
        <v>33</v>
      </c>
    </row>
    <row r="238">
      <c r="A238" s="2">
        <v>45752.0</v>
      </c>
      <c r="B238" s="1" t="s">
        <v>14</v>
      </c>
      <c r="C238" s="1" t="s">
        <v>9</v>
      </c>
      <c r="D238" s="1">
        <v>22.0</v>
      </c>
      <c r="E238" s="1" t="s">
        <v>10</v>
      </c>
      <c r="F238" s="1" t="s">
        <v>11</v>
      </c>
      <c r="G238" s="1" t="s">
        <v>29</v>
      </c>
      <c r="H238" s="1" t="s">
        <v>40</v>
      </c>
    </row>
    <row r="239">
      <c r="A239" s="2">
        <v>45754.0</v>
      </c>
      <c r="B239" s="1" t="s">
        <v>8</v>
      </c>
      <c r="C239" s="1" t="s">
        <v>9</v>
      </c>
      <c r="D239" s="1">
        <v>14.0</v>
      </c>
      <c r="E239" s="1" t="s">
        <v>10</v>
      </c>
      <c r="F239" s="1" t="s">
        <v>11</v>
      </c>
      <c r="G239" s="1" t="s">
        <v>29</v>
      </c>
      <c r="H239" s="1" t="s">
        <v>39</v>
      </c>
    </row>
    <row r="240">
      <c r="A240" s="2">
        <v>45757.0</v>
      </c>
      <c r="B240" s="1" t="s">
        <v>8</v>
      </c>
      <c r="C240" s="1" t="s">
        <v>21</v>
      </c>
      <c r="D240" s="1">
        <v>15.0</v>
      </c>
      <c r="E240" s="1" t="s">
        <v>10</v>
      </c>
      <c r="F240" s="1" t="s">
        <v>15</v>
      </c>
      <c r="G240" s="1" t="s">
        <v>29</v>
      </c>
      <c r="H240" s="1" t="s">
        <v>33</v>
      </c>
    </row>
    <row r="241">
      <c r="A241" s="2">
        <v>45759.0</v>
      </c>
      <c r="B241" s="1" t="s">
        <v>19</v>
      </c>
      <c r="C241" s="1" t="s">
        <v>9</v>
      </c>
      <c r="D241" s="1">
        <v>7.0</v>
      </c>
      <c r="E241" s="1" t="s">
        <v>10</v>
      </c>
      <c r="F241" s="1" t="s">
        <v>11</v>
      </c>
      <c r="G241" s="1" t="s">
        <v>29</v>
      </c>
      <c r="H241" s="1" t="s">
        <v>40</v>
      </c>
    </row>
    <row r="242">
      <c r="A242" s="2">
        <v>45761.0</v>
      </c>
      <c r="B242" s="1" t="s">
        <v>17</v>
      </c>
      <c r="C242" s="1" t="s">
        <v>9</v>
      </c>
      <c r="D242" s="1">
        <v>12.0</v>
      </c>
      <c r="E242" s="1" t="s">
        <v>10</v>
      </c>
      <c r="F242" s="1" t="s">
        <v>11</v>
      </c>
      <c r="G242" s="1" t="s">
        <v>29</v>
      </c>
      <c r="H242" s="1" t="s">
        <v>39</v>
      </c>
    </row>
    <row r="243">
      <c r="A243" s="2">
        <v>45764.0</v>
      </c>
      <c r="B243" s="1" t="s">
        <v>23</v>
      </c>
      <c r="C243" s="1" t="s">
        <v>9</v>
      </c>
      <c r="D243" s="1">
        <v>20.0</v>
      </c>
      <c r="E243" s="1" t="s">
        <v>10</v>
      </c>
      <c r="F243" s="1" t="s">
        <v>15</v>
      </c>
      <c r="G243" s="1" t="s">
        <v>29</v>
      </c>
      <c r="H243" s="1" t="s">
        <v>33</v>
      </c>
    </row>
    <row r="244">
      <c r="A244" s="2">
        <v>45766.0</v>
      </c>
      <c r="B244" s="1" t="s">
        <v>8</v>
      </c>
      <c r="C244" s="1" t="s">
        <v>9</v>
      </c>
      <c r="D244" s="1">
        <v>14.0</v>
      </c>
      <c r="E244" s="1" t="s">
        <v>10</v>
      </c>
      <c r="F244" s="1" t="s">
        <v>11</v>
      </c>
      <c r="G244" s="1" t="s">
        <v>29</v>
      </c>
      <c r="H244" s="1" t="s">
        <v>40</v>
      </c>
    </row>
    <row r="245">
      <c r="A245" s="2">
        <v>45768.0</v>
      </c>
      <c r="B245" s="1" t="s">
        <v>14</v>
      </c>
      <c r="C245" s="1" t="s">
        <v>24</v>
      </c>
      <c r="D245" s="1">
        <v>24.0</v>
      </c>
      <c r="E245" s="1" t="s">
        <v>10</v>
      </c>
      <c r="F245" s="1" t="s">
        <v>11</v>
      </c>
      <c r="G245" s="1" t="s">
        <v>29</v>
      </c>
      <c r="H245" s="1" t="s">
        <v>39</v>
      </c>
    </row>
    <row r="246">
      <c r="A246" s="2">
        <v>45771.0</v>
      </c>
      <c r="B246" s="1" t="s">
        <v>8</v>
      </c>
      <c r="C246" s="1" t="s">
        <v>9</v>
      </c>
      <c r="D246" s="1">
        <v>14.0</v>
      </c>
      <c r="E246" s="1" t="s">
        <v>10</v>
      </c>
      <c r="F246" s="1" t="s">
        <v>15</v>
      </c>
      <c r="G246" s="1" t="s">
        <v>29</v>
      </c>
      <c r="H246" s="1" t="s">
        <v>33</v>
      </c>
    </row>
    <row r="247">
      <c r="A247" s="2">
        <v>45773.0</v>
      </c>
      <c r="B247" s="1" t="s">
        <v>19</v>
      </c>
      <c r="C247" s="1" t="s">
        <v>9</v>
      </c>
      <c r="D247" s="1">
        <v>7.0</v>
      </c>
      <c r="E247" s="1" t="s">
        <v>10</v>
      </c>
      <c r="F247" s="1" t="s">
        <v>11</v>
      </c>
      <c r="G247" s="1" t="s">
        <v>29</v>
      </c>
      <c r="H247" s="1" t="s">
        <v>40</v>
      </c>
    </row>
    <row r="248">
      <c r="A248" s="2">
        <v>45775.0</v>
      </c>
      <c r="B248" s="1" t="s">
        <v>17</v>
      </c>
      <c r="C248" s="1" t="s">
        <v>9</v>
      </c>
      <c r="D248" s="1">
        <v>11.0</v>
      </c>
      <c r="E248" s="1" t="s">
        <v>10</v>
      </c>
      <c r="F248" s="1" t="s">
        <v>11</v>
      </c>
      <c r="G248" s="1" t="s">
        <v>29</v>
      </c>
      <c r="H248" s="1" t="s">
        <v>39</v>
      </c>
    </row>
    <row r="249">
      <c r="A249" s="2">
        <v>45778.0</v>
      </c>
      <c r="B249" s="1" t="s">
        <v>26</v>
      </c>
      <c r="C249" s="1" t="s">
        <v>9</v>
      </c>
      <c r="D249" s="1">
        <v>26.0</v>
      </c>
      <c r="E249" s="1" t="s">
        <v>22</v>
      </c>
      <c r="F249" s="1" t="s">
        <v>15</v>
      </c>
      <c r="G249" s="1" t="s">
        <v>30</v>
      </c>
      <c r="H249" s="1" t="s">
        <v>33</v>
      </c>
    </row>
    <row r="250">
      <c r="A250" s="2">
        <v>45780.0</v>
      </c>
      <c r="B250" s="1" t="s">
        <v>8</v>
      </c>
      <c r="C250" s="1" t="s">
        <v>9</v>
      </c>
      <c r="D250" s="1">
        <v>14.0</v>
      </c>
      <c r="E250" s="1" t="s">
        <v>10</v>
      </c>
      <c r="F250" s="1" t="s">
        <v>11</v>
      </c>
      <c r="G250" s="1" t="s">
        <v>30</v>
      </c>
      <c r="H250" s="1" t="s">
        <v>40</v>
      </c>
    </row>
    <row r="251">
      <c r="A251" s="2">
        <v>45782.0</v>
      </c>
      <c r="B251" s="1" t="s">
        <v>14</v>
      </c>
      <c r="C251" s="1" t="s">
        <v>9</v>
      </c>
      <c r="D251" s="1">
        <v>21.0</v>
      </c>
      <c r="E251" s="1" t="s">
        <v>10</v>
      </c>
      <c r="F251" s="1" t="s">
        <v>11</v>
      </c>
      <c r="G251" s="1" t="s">
        <v>30</v>
      </c>
      <c r="H251" s="1" t="s">
        <v>39</v>
      </c>
    </row>
    <row r="252">
      <c r="A252" s="2">
        <v>45785.0</v>
      </c>
      <c r="B252" s="1" t="s">
        <v>17</v>
      </c>
      <c r="C252" s="1" t="s">
        <v>24</v>
      </c>
      <c r="D252" s="1">
        <v>10.0</v>
      </c>
      <c r="E252" s="1" t="s">
        <v>10</v>
      </c>
      <c r="F252" s="1" t="s">
        <v>15</v>
      </c>
      <c r="G252" s="1" t="s">
        <v>30</v>
      </c>
      <c r="H252" s="1" t="s">
        <v>33</v>
      </c>
    </row>
    <row r="253">
      <c r="A253" s="2">
        <v>45787.0</v>
      </c>
      <c r="B253" s="1" t="s">
        <v>8</v>
      </c>
      <c r="C253" s="1" t="s">
        <v>21</v>
      </c>
      <c r="D253" s="1">
        <v>14.0</v>
      </c>
      <c r="E253" s="1" t="s">
        <v>10</v>
      </c>
      <c r="F253" s="1" t="s">
        <v>11</v>
      </c>
      <c r="G253" s="1" t="s">
        <v>30</v>
      </c>
      <c r="H253" s="1" t="s">
        <v>40</v>
      </c>
    </row>
    <row r="254">
      <c r="A254" s="2">
        <v>45789.0</v>
      </c>
      <c r="B254" s="1" t="s">
        <v>19</v>
      </c>
      <c r="C254" s="1" t="s">
        <v>9</v>
      </c>
      <c r="D254" s="1">
        <v>7.0</v>
      </c>
      <c r="E254" s="1" t="s">
        <v>10</v>
      </c>
      <c r="F254" s="1" t="s">
        <v>11</v>
      </c>
      <c r="G254" s="1" t="s">
        <v>30</v>
      </c>
      <c r="H254" s="1" t="s">
        <v>39</v>
      </c>
    </row>
    <row r="255">
      <c r="A255" s="2">
        <v>45792.0</v>
      </c>
      <c r="B255" s="1" t="s">
        <v>8</v>
      </c>
      <c r="C255" s="1" t="s">
        <v>9</v>
      </c>
      <c r="D255" s="1">
        <v>14.0</v>
      </c>
      <c r="E255" s="1" t="s">
        <v>10</v>
      </c>
      <c r="F255" s="1" t="s">
        <v>15</v>
      </c>
      <c r="G255" s="1" t="s">
        <v>30</v>
      </c>
      <c r="H255" s="1" t="s">
        <v>33</v>
      </c>
    </row>
    <row r="256">
      <c r="A256" s="2">
        <v>45794.0</v>
      </c>
      <c r="B256" s="1" t="s">
        <v>23</v>
      </c>
      <c r="C256" s="1" t="s">
        <v>9</v>
      </c>
      <c r="D256" s="1">
        <v>19.0</v>
      </c>
      <c r="E256" s="1" t="s">
        <v>10</v>
      </c>
      <c r="F256" s="1" t="s">
        <v>11</v>
      </c>
      <c r="G256" s="1" t="s">
        <v>30</v>
      </c>
      <c r="H256" s="1" t="s">
        <v>40</v>
      </c>
    </row>
    <row r="257">
      <c r="A257" s="2">
        <v>45796.0</v>
      </c>
      <c r="B257" s="1" t="s">
        <v>17</v>
      </c>
      <c r="C257" s="1" t="s">
        <v>9</v>
      </c>
      <c r="D257" s="1">
        <v>9.0</v>
      </c>
      <c r="E257" s="1" t="s">
        <v>10</v>
      </c>
      <c r="F257" s="1" t="s">
        <v>11</v>
      </c>
      <c r="G257" s="1" t="s">
        <v>30</v>
      </c>
      <c r="H257" s="1" t="s">
        <v>39</v>
      </c>
    </row>
    <row r="258">
      <c r="A258" s="2">
        <v>45799.0</v>
      </c>
      <c r="B258" s="1" t="s">
        <v>14</v>
      </c>
      <c r="C258" s="1" t="s">
        <v>9</v>
      </c>
      <c r="D258" s="1">
        <v>23.0</v>
      </c>
      <c r="E258" s="1" t="s">
        <v>10</v>
      </c>
      <c r="F258" s="1" t="s">
        <v>15</v>
      </c>
      <c r="G258" s="1" t="s">
        <v>30</v>
      </c>
      <c r="H258" s="1" t="s">
        <v>33</v>
      </c>
    </row>
    <row r="259">
      <c r="A259" s="2">
        <v>45801.0</v>
      </c>
      <c r="B259" s="1" t="s">
        <v>8</v>
      </c>
      <c r="C259" s="1" t="s">
        <v>9</v>
      </c>
      <c r="D259" s="1">
        <v>14.0</v>
      </c>
      <c r="E259" s="1" t="s">
        <v>10</v>
      </c>
      <c r="F259" s="1" t="s">
        <v>11</v>
      </c>
      <c r="G259" s="1" t="s">
        <v>30</v>
      </c>
      <c r="H259" s="1" t="s">
        <v>40</v>
      </c>
    </row>
    <row r="260">
      <c r="A260" s="2">
        <v>45803.0</v>
      </c>
      <c r="B260" s="1" t="s">
        <v>8</v>
      </c>
      <c r="C260" s="1" t="s">
        <v>24</v>
      </c>
      <c r="D260" s="1">
        <v>15.0</v>
      </c>
      <c r="E260" s="1" t="s">
        <v>10</v>
      </c>
      <c r="F260" s="1" t="s">
        <v>11</v>
      </c>
      <c r="G260" s="1" t="s">
        <v>30</v>
      </c>
      <c r="H260" s="1" t="s">
        <v>39</v>
      </c>
    </row>
    <row r="261">
      <c r="A261" s="2">
        <v>45806.0</v>
      </c>
      <c r="B261" s="1" t="s">
        <v>19</v>
      </c>
      <c r="C261" s="1" t="s">
        <v>9</v>
      </c>
      <c r="D261" s="1">
        <v>7.0</v>
      </c>
      <c r="E261" s="1" t="s">
        <v>10</v>
      </c>
      <c r="F261" s="1" t="s">
        <v>15</v>
      </c>
      <c r="G261" s="1" t="s">
        <v>30</v>
      </c>
      <c r="H261" s="1" t="s">
        <v>33</v>
      </c>
    </row>
    <row r="262">
      <c r="A262" s="2">
        <v>45808.0</v>
      </c>
      <c r="B262" s="1" t="s">
        <v>17</v>
      </c>
      <c r="C262" s="1" t="s">
        <v>9</v>
      </c>
      <c r="D262" s="1">
        <v>10.0</v>
      </c>
      <c r="E262" s="1" t="s">
        <v>10</v>
      </c>
      <c r="F262" s="1" t="s">
        <v>11</v>
      </c>
      <c r="G262" s="1" t="s">
        <v>30</v>
      </c>
      <c r="H262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75"/>
    <col customWidth="1" min="8" max="8" width="15.13"/>
    <col customWidth="1" min="12" max="12" width="19.75"/>
    <col customWidth="1" min="13" max="13" width="21.63"/>
    <col customWidth="1" min="14" max="14" width="17.63"/>
    <col customWidth="1" min="15" max="15" width="17.13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41</v>
      </c>
      <c r="I1" s="3" t="s">
        <v>7</v>
      </c>
      <c r="J1" s="4" t="s">
        <v>42</v>
      </c>
    </row>
    <row r="2" ht="22.5" customHeight="1">
      <c r="A2" s="5">
        <v>45660.0</v>
      </c>
      <c r="B2" s="6" t="s">
        <v>14</v>
      </c>
      <c r="C2" s="6" t="s">
        <v>9</v>
      </c>
      <c r="D2" s="7">
        <v>22.0</v>
      </c>
      <c r="E2" s="6" t="s">
        <v>10</v>
      </c>
      <c r="F2" s="6" t="s">
        <v>11</v>
      </c>
      <c r="G2" s="6" t="s">
        <v>12</v>
      </c>
      <c r="H2" s="8" t="str">
        <f t="shared" ref="H2:H262" si="1">IFS(G2="enero","01_enero",G2="febrero","02_febrero",G2="marzo","03_marzo",G2="abril","04_abril",G2="mayo","05_mayo",G2="junio","06_junio",G2="julio","07_julio",G2="agosto","08_agosto",G2="septiembre","09_septiembre",G2="octubre","10_octubre",G2="noviembre","11_noviembre",G2="diciembre","12_diciembre")</f>
        <v>01_enero</v>
      </c>
      <c r="I2" s="9" t="s">
        <v>20</v>
      </c>
      <c r="J2" s="10" t="str">
        <f t="shared" ref="J2:J262" si="2">IFS(I2="lunes","1_lunes",I2="martes","2_martes",I2="miércoles","3_miércoles",I2="jueves","4_jueves",I2="viernes","5_viernes",I2="sábado","6_sábado",I2="domingo","7_domingo")</f>
        <v>5_viernes</v>
      </c>
    </row>
    <row r="3" ht="22.5" customHeight="1">
      <c r="A3" s="11">
        <v>45662.0</v>
      </c>
      <c r="B3" s="12" t="s">
        <v>8</v>
      </c>
      <c r="C3" s="12" t="s">
        <v>9</v>
      </c>
      <c r="D3" s="13">
        <v>14.0</v>
      </c>
      <c r="E3" s="12" t="s">
        <v>10</v>
      </c>
      <c r="F3" s="12" t="s">
        <v>11</v>
      </c>
      <c r="G3" s="12" t="s">
        <v>12</v>
      </c>
      <c r="H3" s="8" t="str">
        <f t="shared" si="1"/>
        <v>01_enero</v>
      </c>
      <c r="I3" s="14" t="s">
        <v>13</v>
      </c>
      <c r="J3" s="10" t="str">
        <f t="shared" si="2"/>
        <v>7_domingo</v>
      </c>
    </row>
    <row r="4" ht="22.5" customHeight="1">
      <c r="A4" s="5">
        <v>45663.0</v>
      </c>
      <c r="B4" s="6" t="s">
        <v>8</v>
      </c>
      <c r="C4" s="6" t="s">
        <v>9</v>
      </c>
      <c r="D4" s="7">
        <v>14.0</v>
      </c>
      <c r="E4" s="6" t="s">
        <v>10</v>
      </c>
      <c r="F4" s="6" t="s">
        <v>11</v>
      </c>
      <c r="G4" s="6" t="s">
        <v>12</v>
      </c>
      <c r="H4" s="8" t="str">
        <f t="shared" si="1"/>
        <v>01_enero</v>
      </c>
      <c r="I4" s="15" t="s">
        <v>39</v>
      </c>
      <c r="J4" s="10" t="str">
        <f t="shared" si="2"/>
        <v>1_lunes</v>
      </c>
      <c r="L4" s="16" t="s">
        <v>43</v>
      </c>
      <c r="M4" s="16" t="s">
        <v>44</v>
      </c>
      <c r="N4" s="16" t="s">
        <v>45</v>
      </c>
      <c r="O4" s="16" t="s">
        <v>46</v>
      </c>
    </row>
    <row r="5" ht="22.5" customHeight="1">
      <c r="A5" s="11">
        <v>45664.0</v>
      </c>
      <c r="B5" s="12" t="s">
        <v>14</v>
      </c>
      <c r="C5" s="12" t="s">
        <v>9</v>
      </c>
      <c r="D5" s="13">
        <v>21.0</v>
      </c>
      <c r="E5" s="12" t="s">
        <v>10</v>
      </c>
      <c r="F5" s="12" t="s">
        <v>15</v>
      </c>
      <c r="G5" s="12" t="s">
        <v>12</v>
      </c>
      <c r="H5" s="8" t="str">
        <f t="shared" si="1"/>
        <v>01_enero</v>
      </c>
      <c r="I5" s="14" t="s">
        <v>16</v>
      </c>
      <c r="J5" s="10" t="str">
        <f t="shared" si="2"/>
        <v>2_martes</v>
      </c>
      <c r="L5" s="17" t="s">
        <v>47</v>
      </c>
      <c r="M5" s="17">
        <f>COUNTIF(B$2:B$350, "ficcion")</f>
        <v>103</v>
      </c>
      <c r="N5" s="18">
        <f>(COUNTIF(B$2:B4350, "ficcion")/COUNTA(B$2:B$350)*100)</f>
        <v>39.46360153</v>
      </c>
      <c r="O5" s="18">
        <f>AVERAGEIF($B$2:$B$350,$B$3,$D$2:$D$350)</f>
        <v>14.87378641</v>
      </c>
    </row>
    <row r="6" ht="22.5" customHeight="1">
      <c r="A6" s="5">
        <v>45665.0</v>
      </c>
      <c r="B6" s="6" t="s">
        <v>17</v>
      </c>
      <c r="C6" s="6" t="s">
        <v>9</v>
      </c>
      <c r="D6" s="7">
        <v>10.0</v>
      </c>
      <c r="E6" s="6" t="s">
        <v>10</v>
      </c>
      <c r="F6" s="6" t="s">
        <v>11</v>
      </c>
      <c r="G6" s="6" t="s">
        <v>12</v>
      </c>
      <c r="H6" s="8" t="str">
        <f t="shared" si="1"/>
        <v>01_enero</v>
      </c>
      <c r="I6" s="15" t="s">
        <v>18</v>
      </c>
      <c r="J6" s="10" t="str">
        <f t="shared" si="2"/>
        <v>3_miércoles</v>
      </c>
      <c r="L6" s="17" t="s">
        <v>48</v>
      </c>
      <c r="M6" s="17">
        <f>COUNTIF(B$2:B$350, "ensayo")</f>
        <v>34</v>
      </c>
      <c r="N6" s="18">
        <f>(COUNTIF(B$2:B4351, "ensayo")/COUNTA(B$2:B$350)*100)</f>
        <v>13.02681992</v>
      </c>
      <c r="O6" s="18">
        <f>AVERAGEIF($B$2:C$350,$B$5,$D$2:$D$350)</f>
        <v>22.55882353</v>
      </c>
    </row>
    <row r="7" ht="22.5" customHeight="1">
      <c r="A7" s="11">
        <v>45666.0</v>
      </c>
      <c r="B7" s="12" t="s">
        <v>19</v>
      </c>
      <c r="C7" s="12" t="s">
        <v>9</v>
      </c>
      <c r="D7" s="13">
        <v>7.0</v>
      </c>
      <c r="E7" s="12" t="s">
        <v>10</v>
      </c>
      <c r="F7" s="12" t="s">
        <v>15</v>
      </c>
      <c r="G7" s="12" t="s">
        <v>12</v>
      </c>
      <c r="H7" s="8" t="str">
        <f t="shared" si="1"/>
        <v>01_enero</v>
      </c>
      <c r="I7" s="14" t="s">
        <v>33</v>
      </c>
      <c r="J7" s="10" t="str">
        <f t="shared" si="2"/>
        <v>4_jueves</v>
      </c>
      <c r="L7" s="17" t="s">
        <v>49</v>
      </c>
      <c r="M7" s="17">
        <f>COUNTIF(B$2:B$350, "infantil")</f>
        <v>55</v>
      </c>
      <c r="N7" s="18">
        <f>(COUNTIF(B$2:B4352, "infantil")/COUNTA(B$2:B$350)*100)</f>
        <v>21.07279693</v>
      </c>
      <c r="O7" s="18">
        <f>AVERAGEIF($B$2:$B$350,$B$9,$D$2:$D$350)</f>
        <v>10.45454545</v>
      </c>
    </row>
    <row r="8" ht="22.5" customHeight="1">
      <c r="A8" s="5">
        <v>45667.0</v>
      </c>
      <c r="B8" s="6" t="s">
        <v>19</v>
      </c>
      <c r="C8" s="6" t="s">
        <v>9</v>
      </c>
      <c r="D8" s="7">
        <v>7.0</v>
      </c>
      <c r="E8" s="6" t="s">
        <v>10</v>
      </c>
      <c r="F8" s="6" t="s">
        <v>11</v>
      </c>
      <c r="G8" s="6" t="s">
        <v>12</v>
      </c>
      <c r="H8" s="8" t="str">
        <f t="shared" si="1"/>
        <v>01_enero</v>
      </c>
      <c r="I8" s="15" t="s">
        <v>20</v>
      </c>
      <c r="J8" s="10" t="str">
        <f t="shared" si="2"/>
        <v>5_viernes</v>
      </c>
      <c r="L8" s="17" t="s">
        <v>50</v>
      </c>
      <c r="M8" s="17">
        <f>COUNTIF(B$2:B$350, "comic")</f>
        <v>35</v>
      </c>
      <c r="N8" s="18">
        <f>(COUNTIF(B$2:B4353, "comic")/COUNTA(B$2:B$350)*100)</f>
        <v>13.40996169</v>
      </c>
      <c r="O8" s="18">
        <f>AVERAGEIF($B$2:$B$350,$B$7,$D$2:$D$350)</f>
        <v>7</v>
      </c>
    </row>
    <row r="9" ht="22.5" customHeight="1">
      <c r="A9" s="11">
        <v>45668.0</v>
      </c>
      <c r="B9" s="12" t="s">
        <v>17</v>
      </c>
      <c r="C9" s="12" t="s">
        <v>9</v>
      </c>
      <c r="D9" s="13">
        <v>9.0</v>
      </c>
      <c r="E9" s="12" t="s">
        <v>10</v>
      </c>
      <c r="F9" s="12" t="s">
        <v>11</v>
      </c>
      <c r="G9" s="12" t="s">
        <v>12</v>
      </c>
      <c r="H9" s="8" t="str">
        <f t="shared" si="1"/>
        <v>01_enero</v>
      </c>
      <c r="I9" s="14" t="s">
        <v>40</v>
      </c>
      <c r="J9" s="10" t="str">
        <f t="shared" si="2"/>
        <v>6_sábado</v>
      </c>
      <c r="L9" s="17" t="s">
        <v>51</v>
      </c>
      <c r="M9" s="17">
        <f>COUNTIF(B$2:B$350, "poesia")</f>
        <v>3</v>
      </c>
      <c r="N9" s="18">
        <f>(COUNTIF(B$2:B4354, "poesia")/COUNTA(B$2:B$350)*100)</f>
        <v>1.149425287</v>
      </c>
      <c r="O9" s="18">
        <f>AVERAGEIF($B$2:$B$350,$B$71,$D$2:$D$350)</f>
        <v>31</v>
      </c>
    </row>
    <row r="10" ht="22.5" customHeight="1">
      <c r="A10" s="5">
        <v>45669.0</v>
      </c>
      <c r="B10" s="6" t="s">
        <v>8</v>
      </c>
      <c r="C10" s="6" t="s">
        <v>21</v>
      </c>
      <c r="D10" s="7">
        <v>15.0</v>
      </c>
      <c r="E10" s="6" t="s">
        <v>22</v>
      </c>
      <c r="F10" s="6" t="s">
        <v>15</v>
      </c>
      <c r="G10" s="6" t="s">
        <v>12</v>
      </c>
      <c r="H10" s="8" t="str">
        <f t="shared" si="1"/>
        <v>01_enero</v>
      </c>
      <c r="I10" s="15" t="s">
        <v>13</v>
      </c>
      <c r="J10" s="10" t="str">
        <f t="shared" si="2"/>
        <v>7_domingo</v>
      </c>
      <c r="L10" s="17" t="s">
        <v>52</v>
      </c>
      <c r="M10" s="17">
        <f>COUNTIF(B$2:B$350, "novela_grafica")</f>
        <v>17</v>
      </c>
      <c r="N10" s="18">
        <f>(COUNTIF(B$2:B4355, "novela_grafica")/COUNTA(B$2:B$350)*100)</f>
        <v>6.513409962</v>
      </c>
      <c r="O10" s="18">
        <f>AVERAGEIF($B$2:$B$350,$B$8,$D$2:$D$350)</f>
        <v>7</v>
      </c>
    </row>
    <row r="11" ht="22.5" customHeight="1">
      <c r="A11" s="11">
        <v>45670.0</v>
      </c>
      <c r="B11" s="12" t="s">
        <v>8</v>
      </c>
      <c r="C11" s="12" t="s">
        <v>21</v>
      </c>
      <c r="D11" s="13">
        <v>14.0</v>
      </c>
      <c r="E11" s="12" t="s">
        <v>10</v>
      </c>
      <c r="F11" s="12" t="s">
        <v>11</v>
      </c>
      <c r="G11" s="12" t="s">
        <v>12</v>
      </c>
      <c r="H11" s="8" t="str">
        <f t="shared" si="1"/>
        <v>01_enero</v>
      </c>
      <c r="I11" s="14" t="s">
        <v>39</v>
      </c>
      <c r="J11" s="10" t="str">
        <f t="shared" si="2"/>
        <v>1_lunes</v>
      </c>
      <c r="L11" s="17" t="s">
        <v>53</v>
      </c>
      <c r="M11" s="17">
        <f>COUNTIF(B$2:B$350, "divulgacion")</f>
        <v>14</v>
      </c>
      <c r="N11" s="18">
        <f>(COUNTIF(B$2:B4356, "divulgacion")/COUNTA(B$2:B$350)*100)</f>
        <v>5.363984674</v>
      </c>
      <c r="O11" s="19">
        <f>AVERAGEIF($B$2:$B$350,$B$28,$D$2:$D$350)</f>
        <v>25</v>
      </c>
    </row>
    <row r="12" ht="22.5" customHeight="1">
      <c r="A12" s="5">
        <v>45671.0</v>
      </c>
      <c r="B12" s="6" t="s">
        <v>8</v>
      </c>
      <c r="C12" s="6" t="s">
        <v>9</v>
      </c>
      <c r="D12" s="7">
        <v>14.0</v>
      </c>
      <c r="E12" s="6" t="s">
        <v>10</v>
      </c>
      <c r="F12" s="6" t="s">
        <v>11</v>
      </c>
      <c r="G12" s="6" t="s">
        <v>12</v>
      </c>
      <c r="H12" s="8" t="str">
        <f t="shared" si="1"/>
        <v>01_enero</v>
      </c>
      <c r="I12" s="15" t="s">
        <v>16</v>
      </c>
      <c r="J12" s="10" t="str">
        <f t="shared" si="2"/>
        <v>2_martes</v>
      </c>
      <c r="L12" s="20" t="s">
        <v>54</v>
      </c>
      <c r="M12" s="17">
        <f>SUM(M5:M11)</f>
        <v>261</v>
      </c>
      <c r="N12" s="21"/>
      <c r="O12" s="22"/>
    </row>
    <row r="13" ht="22.5" customHeight="1">
      <c r="A13" s="11">
        <v>45672.0</v>
      </c>
      <c r="B13" s="12" t="s">
        <v>23</v>
      </c>
      <c r="C13" s="12" t="s">
        <v>9</v>
      </c>
      <c r="D13" s="13">
        <v>18.0</v>
      </c>
      <c r="E13" s="12" t="s">
        <v>10</v>
      </c>
      <c r="F13" s="12" t="s">
        <v>15</v>
      </c>
      <c r="G13" s="12" t="s">
        <v>12</v>
      </c>
      <c r="H13" s="8" t="str">
        <f t="shared" si="1"/>
        <v>01_enero</v>
      </c>
      <c r="I13" s="14" t="s">
        <v>18</v>
      </c>
      <c r="J13" s="10" t="str">
        <f t="shared" si="2"/>
        <v>3_miércoles</v>
      </c>
      <c r="L13" s="17" t="s">
        <v>55</v>
      </c>
      <c r="M13" s="17">
        <v>35.0</v>
      </c>
      <c r="N13" s="21" t="s">
        <v>56</v>
      </c>
      <c r="O13" s="23">
        <f>AVERAGE(O5:O12)</f>
        <v>16.8410222</v>
      </c>
    </row>
    <row r="14" ht="22.5" customHeight="1">
      <c r="A14" s="5">
        <v>45673.0</v>
      </c>
      <c r="B14" s="6" t="s">
        <v>23</v>
      </c>
      <c r="C14" s="6" t="s">
        <v>9</v>
      </c>
      <c r="D14" s="7">
        <v>20.0</v>
      </c>
      <c r="E14" s="6" t="s">
        <v>10</v>
      </c>
      <c r="F14" s="6" t="s">
        <v>15</v>
      </c>
      <c r="G14" s="6" t="s">
        <v>12</v>
      </c>
      <c r="H14" s="8" t="str">
        <f t="shared" si="1"/>
        <v>01_enero</v>
      </c>
      <c r="I14" s="15" t="s">
        <v>33</v>
      </c>
      <c r="J14" s="10" t="str">
        <f t="shared" si="2"/>
        <v>4_jueves</v>
      </c>
      <c r="L14" s="17" t="s">
        <v>57</v>
      </c>
      <c r="M14" s="17">
        <v>7.0</v>
      </c>
      <c r="N14" s="24"/>
      <c r="O14" s="25"/>
    </row>
    <row r="15" ht="22.5" customHeight="1">
      <c r="A15" s="11">
        <v>45674.0</v>
      </c>
      <c r="B15" s="12" t="s">
        <v>14</v>
      </c>
      <c r="C15" s="12" t="s">
        <v>24</v>
      </c>
      <c r="D15" s="13">
        <v>25.0</v>
      </c>
      <c r="E15" s="12" t="s">
        <v>10</v>
      </c>
      <c r="F15" s="12" t="s">
        <v>11</v>
      </c>
      <c r="G15" s="12" t="s">
        <v>12</v>
      </c>
      <c r="H15" s="8" t="str">
        <f t="shared" si="1"/>
        <v>01_enero</v>
      </c>
      <c r="I15" s="14" t="s">
        <v>20</v>
      </c>
      <c r="J15" s="10" t="str">
        <f t="shared" si="2"/>
        <v>5_viernes</v>
      </c>
    </row>
    <row r="16" ht="22.5" customHeight="1">
      <c r="A16" s="5">
        <v>45675.0</v>
      </c>
      <c r="B16" s="6" t="s">
        <v>17</v>
      </c>
      <c r="C16" s="6" t="s">
        <v>24</v>
      </c>
      <c r="D16" s="7">
        <v>11.0</v>
      </c>
      <c r="E16" s="6" t="s">
        <v>10</v>
      </c>
      <c r="F16" s="6" t="s">
        <v>11</v>
      </c>
      <c r="G16" s="6" t="s">
        <v>12</v>
      </c>
      <c r="H16" s="8" t="str">
        <f t="shared" si="1"/>
        <v>01_enero</v>
      </c>
      <c r="I16" s="15" t="s">
        <v>40</v>
      </c>
      <c r="J16" s="10" t="str">
        <f t="shared" si="2"/>
        <v>6_sábado</v>
      </c>
      <c r="L16" s="26" t="s">
        <v>58</v>
      </c>
      <c r="M16" s="27">
        <v>0.5086705202</v>
      </c>
    </row>
    <row r="17" ht="22.5" customHeight="1">
      <c r="A17" s="11">
        <v>45676.0</v>
      </c>
      <c r="B17" s="12" t="s">
        <v>17</v>
      </c>
      <c r="C17" s="12" t="s">
        <v>9</v>
      </c>
      <c r="D17" s="13">
        <v>8.0</v>
      </c>
      <c r="E17" s="12" t="s">
        <v>10</v>
      </c>
      <c r="F17" s="12" t="s">
        <v>11</v>
      </c>
      <c r="G17" s="12" t="s">
        <v>12</v>
      </c>
      <c r="H17" s="8" t="str">
        <f t="shared" si="1"/>
        <v>01_enero</v>
      </c>
      <c r="I17" s="14" t="s">
        <v>13</v>
      </c>
      <c r="J17" s="10" t="str">
        <f t="shared" si="2"/>
        <v>7_domingo</v>
      </c>
      <c r="L17" s="26" t="s">
        <v>59</v>
      </c>
      <c r="M17" s="28">
        <v>88.0</v>
      </c>
    </row>
    <row r="18" ht="22.5" customHeight="1">
      <c r="A18" s="5">
        <v>45677.0</v>
      </c>
      <c r="B18" s="6" t="s">
        <v>8</v>
      </c>
      <c r="C18" s="6" t="s">
        <v>9</v>
      </c>
      <c r="D18" s="7">
        <v>14.0</v>
      </c>
      <c r="E18" s="6" t="s">
        <v>10</v>
      </c>
      <c r="F18" s="6" t="s">
        <v>11</v>
      </c>
      <c r="G18" s="6" t="s">
        <v>12</v>
      </c>
      <c r="H18" s="8" t="str">
        <f t="shared" si="1"/>
        <v>01_enero</v>
      </c>
      <c r="I18" s="15" t="s">
        <v>39</v>
      </c>
      <c r="J18" s="10" t="str">
        <f t="shared" si="2"/>
        <v>1_lunes</v>
      </c>
      <c r="L18" s="26" t="s">
        <v>60</v>
      </c>
      <c r="M18" s="28">
        <v>173.0</v>
      </c>
    </row>
    <row r="19" ht="22.5" customHeight="1">
      <c r="A19" s="11">
        <v>45678.0</v>
      </c>
      <c r="B19" s="12" t="s">
        <v>8</v>
      </c>
      <c r="C19" s="12" t="s">
        <v>9</v>
      </c>
      <c r="D19" s="13">
        <v>14.0</v>
      </c>
      <c r="E19" s="12" t="s">
        <v>10</v>
      </c>
      <c r="F19" s="12" t="s">
        <v>15</v>
      </c>
      <c r="G19" s="12" t="s">
        <v>12</v>
      </c>
      <c r="H19" s="8" t="str">
        <f t="shared" si="1"/>
        <v>01_enero</v>
      </c>
      <c r="I19" s="14" t="s">
        <v>16</v>
      </c>
      <c r="J19" s="10" t="str">
        <f t="shared" si="2"/>
        <v>2_martes</v>
      </c>
    </row>
    <row r="20" ht="22.5" customHeight="1">
      <c r="A20" s="5">
        <v>45679.0</v>
      </c>
      <c r="B20" s="6" t="s">
        <v>25</v>
      </c>
      <c r="C20" s="6" t="s">
        <v>9</v>
      </c>
      <c r="D20" s="7">
        <v>30.0</v>
      </c>
      <c r="E20" s="6" t="s">
        <v>22</v>
      </c>
      <c r="F20" s="6" t="s">
        <v>11</v>
      </c>
      <c r="G20" s="6" t="s">
        <v>12</v>
      </c>
      <c r="H20" s="8" t="str">
        <f t="shared" si="1"/>
        <v>01_enero</v>
      </c>
      <c r="I20" s="15" t="s">
        <v>18</v>
      </c>
      <c r="J20" s="10" t="str">
        <f t="shared" si="2"/>
        <v>3_miércoles</v>
      </c>
    </row>
    <row r="21" ht="22.5" customHeight="1">
      <c r="A21" s="11">
        <v>45680.0</v>
      </c>
      <c r="B21" s="12" t="s">
        <v>14</v>
      </c>
      <c r="C21" s="12" t="s">
        <v>9</v>
      </c>
      <c r="D21" s="13">
        <v>24.0</v>
      </c>
      <c r="E21" s="12" t="s">
        <v>10</v>
      </c>
      <c r="F21" s="12" t="s">
        <v>15</v>
      </c>
      <c r="G21" s="12" t="s">
        <v>12</v>
      </c>
      <c r="H21" s="8" t="str">
        <f t="shared" si="1"/>
        <v>01_enero</v>
      </c>
      <c r="I21" s="14" t="s">
        <v>33</v>
      </c>
      <c r="J21" s="10" t="str">
        <f t="shared" si="2"/>
        <v>4_jueves</v>
      </c>
      <c r="L21" s="16" t="s">
        <v>61</v>
      </c>
      <c r="M21" s="16" t="s">
        <v>62</v>
      </c>
      <c r="N21" s="16" t="s">
        <v>63</v>
      </c>
    </row>
    <row r="22" ht="22.5" customHeight="1">
      <c r="A22" s="5">
        <v>45681.0</v>
      </c>
      <c r="B22" s="6" t="s">
        <v>8</v>
      </c>
      <c r="C22" s="6" t="s">
        <v>21</v>
      </c>
      <c r="D22" s="7">
        <v>14.0</v>
      </c>
      <c r="E22" s="6" t="s">
        <v>10</v>
      </c>
      <c r="F22" s="6" t="s">
        <v>11</v>
      </c>
      <c r="G22" s="6" t="s">
        <v>12</v>
      </c>
      <c r="H22" s="8" t="str">
        <f t="shared" si="1"/>
        <v>01_enero</v>
      </c>
      <c r="I22" s="15" t="s">
        <v>20</v>
      </c>
      <c r="J22" s="10" t="str">
        <f t="shared" si="2"/>
        <v>5_viernes</v>
      </c>
      <c r="L22" s="17" t="s">
        <v>64</v>
      </c>
      <c r="M22" s="17">
        <f>COUNTIF(I$2:I$350,"lunes")</f>
        <v>21</v>
      </c>
      <c r="N22" s="18">
        <f>(COUNTIF(I$2:I$350,"lunes")/COUNTA(I$2:I$350)*100)</f>
        <v>8.045977011</v>
      </c>
    </row>
    <row r="23" ht="22.5" customHeight="1">
      <c r="A23" s="11">
        <v>45682.0</v>
      </c>
      <c r="B23" s="12" t="s">
        <v>19</v>
      </c>
      <c r="C23" s="12" t="s">
        <v>9</v>
      </c>
      <c r="D23" s="13">
        <v>7.0</v>
      </c>
      <c r="E23" s="12" t="s">
        <v>10</v>
      </c>
      <c r="F23" s="12" t="s">
        <v>11</v>
      </c>
      <c r="G23" s="12" t="s">
        <v>12</v>
      </c>
      <c r="H23" s="8" t="str">
        <f t="shared" si="1"/>
        <v>01_enero</v>
      </c>
      <c r="I23" s="14" t="s">
        <v>40</v>
      </c>
      <c r="J23" s="10" t="str">
        <f t="shared" si="2"/>
        <v>6_sábado</v>
      </c>
      <c r="L23" s="17" t="s">
        <v>65</v>
      </c>
      <c r="M23" s="17">
        <f>COUNTIF(I$2:I$350,"martes")</f>
        <v>52</v>
      </c>
      <c r="N23" s="18">
        <f>(COUNTIF(I$2:I$350,"martes")/COUNTA(I$2:I$350)*100)</f>
        <v>19.92337165</v>
      </c>
    </row>
    <row r="24" ht="22.5" customHeight="1">
      <c r="A24" s="5">
        <v>45683.0</v>
      </c>
      <c r="B24" s="6" t="s">
        <v>19</v>
      </c>
      <c r="C24" s="6" t="s">
        <v>9</v>
      </c>
      <c r="D24" s="7">
        <v>7.0</v>
      </c>
      <c r="E24" s="6" t="s">
        <v>10</v>
      </c>
      <c r="F24" s="6" t="s">
        <v>15</v>
      </c>
      <c r="G24" s="6" t="s">
        <v>12</v>
      </c>
      <c r="H24" s="8" t="str">
        <f t="shared" si="1"/>
        <v>01_enero</v>
      </c>
      <c r="I24" s="15" t="s">
        <v>13</v>
      </c>
      <c r="J24" s="10" t="str">
        <f t="shared" si="2"/>
        <v>7_domingo</v>
      </c>
      <c r="L24" s="17" t="s">
        <v>66</v>
      </c>
      <c r="M24" s="17">
        <f>COUNTIF(I$2:I$350,"miércoles")</f>
        <v>42</v>
      </c>
      <c r="N24" s="18">
        <f>(COUNTIF(I$2:I$350,"miércoles")/COUNTA(I$2:I$350)*100)</f>
        <v>16.09195402</v>
      </c>
    </row>
    <row r="25" ht="22.5" customHeight="1">
      <c r="A25" s="11">
        <v>45684.0</v>
      </c>
      <c r="B25" s="12" t="s">
        <v>8</v>
      </c>
      <c r="C25" s="12" t="s">
        <v>9</v>
      </c>
      <c r="D25" s="13">
        <v>14.0</v>
      </c>
      <c r="E25" s="12" t="s">
        <v>10</v>
      </c>
      <c r="F25" s="12" t="s">
        <v>11</v>
      </c>
      <c r="G25" s="12" t="s">
        <v>12</v>
      </c>
      <c r="H25" s="8" t="str">
        <f t="shared" si="1"/>
        <v>01_enero</v>
      </c>
      <c r="I25" s="14" t="s">
        <v>39</v>
      </c>
      <c r="J25" s="10" t="str">
        <f t="shared" si="2"/>
        <v>1_lunes</v>
      </c>
      <c r="L25" s="17" t="s">
        <v>67</v>
      </c>
      <c r="M25" s="17">
        <f>COUNTIF(I$2:I$350,"jueves")</f>
        <v>30</v>
      </c>
      <c r="N25" s="18">
        <f>(COUNTIF(I$2:I$350,"jueves")/COUNTA(I$2:I$350)*100)</f>
        <v>11.49425287</v>
      </c>
    </row>
    <row r="26" ht="22.5" customHeight="1">
      <c r="A26" s="5">
        <v>45685.0</v>
      </c>
      <c r="B26" s="6" t="s">
        <v>8</v>
      </c>
      <c r="C26" s="6" t="s">
        <v>9</v>
      </c>
      <c r="D26" s="7">
        <v>16.0</v>
      </c>
      <c r="E26" s="6" t="s">
        <v>10</v>
      </c>
      <c r="F26" s="6" t="s">
        <v>11</v>
      </c>
      <c r="G26" s="6" t="s">
        <v>12</v>
      </c>
      <c r="H26" s="8" t="str">
        <f t="shared" si="1"/>
        <v>01_enero</v>
      </c>
      <c r="I26" s="15" t="s">
        <v>16</v>
      </c>
      <c r="J26" s="10" t="str">
        <f t="shared" si="2"/>
        <v>2_martes</v>
      </c>
      <c r="L26" s="17" t="s">
        <v>68</v>
      </c>
      <c r="M26" s="17">
        <f>COUNTIF(I$2:I$350,"viernes")</f>
        <v>43</v>
      </c>
      <c r="N26" s="18">
        <f>(COUNTIF(I$2:I$350,"viernes")/COUNTA(I$2:I$350)*100)</f>
        <v>16.47509579</v>
      </c>
    </row>
    <row r="27" ht="22.5" customHeight="1">
      <c r="A27" s="11">
        <v>45686.0</v>
      </c>
      <c r="B27" s="12" t="s">
        <v>17</v>
      </c>
      <c r="C27" s="12" t="s">
        <v>9</v>
      </c>
      <c r="D27" s="13">
        <v>9.0</v>
      </c>
      <c r="E27" s="12" t="s">
        <v>10</v>
      </c>
      <c r="F27" s="12" t="s">
        <v>11</v>
      </c>
      <c r="G27" s="12" t="s">
        <v>12</v>
      </c>
      <c r="H27" s="8" t="str">
        <f t="shared" si="1"/>
        <v>01_enero</v>
      </c>
      <c r="I27" s="14" t="s">
        <v>18</v>
      </c>
      <c r="J27" s="10" t="str">
        <f t="shared" si="2"/>
        <v>3_miércoles</v>
      </c>
      <c r="L27" s="17" t="s">
        <v>69</v>
      </c>
      <c r="M27" s="17">
        <f>COUNTIF(I$2:I$350,"sábado")</f>
        <v>21</v>
      </c>
      <c r="N27" s="18">
        <f>(COUNTIF(I$2:I$350,"sábado")/COUNTA(I$2:I$350)*100)</f>
        <v>8.045977011</v>
      </c>
    </row>
    <row r="28" ht="22.5" customHeight="1">
      <c r="A28" s="5">
        <v>45687.0</v>
      </c>
      <c r="B28" s="6" t="s">
        <v>26</v>
      </c>
      <c r="C28" s="6" t="s">
        <v>21</v>
      </c>
      <c r="D28" s="7">
        <v>27.0</v>
      </c>
      <c r="E28" s="6" t="s">
        <v>22</v>
      </c>
      <c r="F28" s="6" t="s">
        <v>15</v>
      </c>
      <c r="G28" s="6" t="s">
        <v>12</v>
      </c>
      <c r="H28" s="8" t="str">
        <f t="shared" si="1"/>
        <v>01_enero</v>
      </c>
      <c r="I28" s="15" t="s">
        <v>33</v>
      </c>
      <c r="J28" s="10" t="str">
        <f t="shared" si="2"/>
        <v>4_jueves</v>
      </c>
      <c r="L28" s="17" t="s">
        <v>70</v>
      </c>
      <c r="M28" s="17">
        <f>COUNTIF(I$2:I$350,"domingo")</f>
        <v>52</v>
      </c>
      <c r="N28" s="18">
        <f>(COUNTIF(I$2:I$350,"domingo")/COUNTA(I$2:I$350)*100)</f>
        <v>19.92337165</v>
      </c>
    </row>
    <row r="29" ht="22.5" customHeight="1">
      <c r="A29" s="11">
        <v>45688.0</v>
      </c>
      <c r="B29" s="12" t="s">
        <v>26</v>
      </c>
      <c r="C29" s="12" t="s">
        <v>9</v>
      </c>
      <c r="D29" s="13">
        <v>21.0</v>
      </c>
      <c r="E29" s="12" t="s">
        <v>10</v>
      </c>
      <c r="F29" s="12" t="s">
        <v>15</v>
      </c>
      <c r="G29" s="12" t="s">
        <v>12</v>
      </c>
      <c r="H29" s="8" t="str">
        <f t="shared" si="1"/>
        <v>01_enero</v>
      </c>
      <c r="I29" s="14" t="s">
        <v>20</v>
      </c>
      <c r="J29" s="10" t="str">
        <f t="shared" si="2"/>
        <v>5_viernes</v>
      </c>
    </row>
    <row r="30" ht="22.5" customHeight="1">
      <c r="A30" s="5">
        <v>45689.0</v>
      </c>
      <c r="B30" s="6" t="s">
        <v>17</v>
      </c>
      <c r="C30" s="6" t="s">
        <v>9</v>
      </c>
      <c r="D30" s="7">
        <v>10.0</v>
      </c>
      <c r="E30" s="6" t="s">
        <v>10</v>
      </c>
      <c r="F30" s="6" t="s">
        <v>11</v>
      </c>
      <c r="G30" s="6" t="s">
        <v>27</v>
      </c>
      <c r="H30" s="8" t="str">
        <f t="shared" si="1"/>
        <v>02_febrero</v>
      </c>
      <c r="I30" s="15" t="s">
        <v>40</v>
      </c>
      <c r="J30" s="10" t="str">
        <f t="shared" si="2"/>
        <v>6_sábado</v>
      </c>
    </row>
    <row r="31" ht="22.5" customHeight="1">
      <c r="A31" s="11">
        <v>45690.0</v>
      </c>
      <c r="B31" s="12" t="s">
        <v>8</v>
      </c>
      <c r="C31" s="12" t="s">
        <v>9</v>
      </c>
      <c r="D31" s="13">
        <v>14.0</v>
      </c>
      <c r="E31" s="12" t="s">
        <v>10</v>
      </c>
      <c r="F31" s="12" t="s">
        <v>11</v>
      </c>
      <c r="G31" s="12" t="s">
        <v>27</v>
      </c>
      <c r="H31" s="8" t="str">
        <f t="shared" si="1"/>
        <v>02_febrero</v>
      </c>
      <c r="I31" s="14" t="s">
        <v>13</v>
      </c>
      <c r="J31" s="10" t="str">
        <f t="shared" si="2"/>
        <v>7_domingo</v>
      </c>
      <c r="L31" s="16" t="s">
        <v>71</v>
      </c>
      <c r="M31" s="16" t="s">
        <v>72</v>
      </c>
      <c r="N31" s="16" t="s">
        <v>73</v>
      </c>
      <c r="O31" s="16" t="s">
        <v>74</v>
      </c>
    </row>
    <row r="32" ht="22.5" customHeight="1">
      <c r="A32" s="5">
        <v>45691.0</v>
      </c>
      <c r="B32" s="6" t="s">
        <v>8</v>
      </c>
      <c r="C32" s="6" t="s">
        <v>9</v>
      </c>
      <c r="D32" s="7">
        <v>14.0</v>
      </c>
      <c r="E32" s="6" t="s">
        <v>10</v>
      </c>
      <c r="F32" s="6" t="s">
        <v>11</v>
      </c>
      <c r="G32" s="6" t="s">
        <v>27</v>
      </c>
      <c r="H32" s="8" t="str">
        <f t="shared" si="1"/>
        <v>02_febrero</v>
      </c>
      <c r="I32" s="15" t="s">
        <v>39</v>
      </c>
      <c r="J32" s="10" t="str">
        <f t="shared" si="2"/>
        <v>1_lunes</v>
      </c>
      <c r="L32" s="17" t="s">
        <v>75</v>
      </c>
      <c r="M32" s="17">
        <f>COUNTIFS($F$2:$F$350, "mañana",$G$2:$G$350,"enero")</f>
        <v>10</v>
      </c>
      <c r="N32" s="17">
        <f>COUNTIFS($F$2:$F$350, "tarde",$G$2:$G$350,"enero")</f>
        <v>18</v>
      </c>
      <c r="O32" s="17">
        <f t="shared" ref="O32:O42" si="3">SUM(M32+N32)</f>
        <v>28</v>
      </c>
    </row>
    <row r="33" ht="22.5" customHeight="1">
      <c r="A33" s="11">
        <v>45692.0</v>
      </c>
      <c r="B33" s="12" t="s">
        <v>17</v>
      </c>
      <c r="C33" s="12" t="s">
        <v>24</v>
      </c>
      <c r="D33" s="13">
        <v>12.0</v>
      </c>
      <c r="E33" s="12" t="s">
        <v>10</v>
      </c>
      <c r="F33" s="12" t="s">
        <v>11</v>
      </c>
      <c r="G33" s="12" t="s">
        <v>27</v>
      </c>
      <c r="H33" s="8" t="str">
        <f t="shared" si="1"/>
        <v>02_febrero</v>
      </c>
      <c r="I33" s="14" t="s">
        <v>16</v>
      </c>
      <c r="J33" s="10" t="str">
        <f t="shared" si="2"/>
        <v>2_martes</v>
      </c>
      <c r="L33" s="17" t="s">
        <v>76</v>
      </c>
      <c r="M33" s="17">
        <f>COUNTIFS($F$2:$F$350, "mañana",$G$2:$G$350,"febrero")</f>
        <v>9</v>
      </c>
      <c r="N33" s="17">
        <f>COUNTIFS($F$2:$F$350, "tarde",$G$2:$G$350,"febrero")</f>
        <v>19</v>
      </c>
      <c r="O33" s="17">
        <f t="shared" si="3"/>
        <v>28</v>
      </c>
    </row>
    <row r="34" ht="22.5" customHeight="1">
      <c r="A34" s="5">
        <v>45693.0</v>
      </c>
      <c r="B34" s="6" t="s">
        <v>8</v>
      </c>
      <c r="C34" s="6" t="s">
        <v>9</v>
      </c>
      <c r="D34" s="7">
        <v>14.0</v>
      </c>
      <c r="E34" s="6" t="s">
        <v>10</v>
      </c>
      <c r="F34" s="6" t="s">
        <v>15</v>
      </c>
      <c r="G34" s="6" t="s">
        <v>27</v>
      </c>
      <c r="H34" s="8" t="str">
        <f t="shared" si="1"/>
        <v>02_febrero</v>
      </c>
      <c r="I34" s="15" t="s">
        <v>18</v>
      </c>
      <c r="J34" s="10" t="str">
        <f t="shared" si="2"/>
        <v>3_miércoles</v>
      </c>
      <c r="L34" s="17" t="s">
        <v>77</v>
      </c>
      <c r="M34" s="17">
        <f>COUNTIFS($F$2:$F$350, "mañana",$G$2:$G$350,"marzo")</f>
        <v>10</v>
      </c>
      <c r="N34" s="17">
        <f>COUNTIFS($F$2:$F$350, "tarde",$G$2:$G$350,"marzo")</f>
        <v>21</v>
      </c>
      <c r="O34" s="17">
        <f t="shared" si="3"/>
        <v>31</v>
      </c>
    </row>
    <row r="35" ht="22.5" customHeight="1">
      <c r="A35" s="11">
        <v>45694.0</v>
      </c>
      <c r="B35" s="12" t="s">
        <v>14</v>
      </c>
      <c r="C35" s="12" t="s">
        <v>24</v>
      </c>
      <c r="D35" s="13">
        <v>21.0</v>
      </c>
      <c r="E35" s="12" t="s">
        <v>10</v>
      </c>
      <c r="F35" s="12" t="s">
        <v>15</v>
      </c>
      <c r="G35" s="12" t="s">
        <v>27</v>
      </c>
      <c r="H35" s="8" t="str">
        <f t="shared" si="1"/>
        <v>02_febrero</v>
      </c>
      <c r="I35" s="14" t="s">
        <v>33</v>
      </c>
      <c r="J35" s="10" t="str">
        <f t="shared" si="2"/>
        <v>4_jueves</v>
      </c>
      <c r="L35" s="17" t="s">
        <v>78</v>
      </c>
      <c r="M35" s="17">
        <f>COUNTIFS($F$2:$F$350, "mañana",$G$2:$G$350,"abril")</f>
        <v>10</v>
      </c>
      <c r="N35" s="17">
        <f>COUNTIFS($F$2:$F$350, "tarde",$G$2:$G$350,"abril")</f>
        <v>20</v>
      </c>
      <c r="O35" s="17">
        <f t="shared" si="3"/>
        <v>30</v>
      </c>
    </row>
    <row r="36" ht="22.5" customHeight="1">
      <c r="A36" s="5">
        <v>45695.0</v>
      </c>
      <c r="B36" s="6" t="s">
        <v>14</v>
      </c>
      <c r="C36" s="6" t="s">
        <v>9</v>
      </c>
      <c r="D36" s="7">
        <v>28.0</v>
      </c>
      <c r="E36" s="6" t="s">
        <v>22</v>
      </c>
      <c r="F36" s="6" t="s">
        <v>11</v>
      </c>
      <c r="G36" s="6" t="s">
        <v>27</v>
      </c>
      <c r="H36" s="8" t="str">
        <f t="shared" si="1"/>
        <v>02_febrero</v>
      </c>
      <c r="I36" s="15" t="s">
        <v>20</v>
      </c>
      <c r="J36" s="10" t="str">
        <f t="shared" si="2"/>
        <v>5_viernes</v>
      </c>
      <c r="L36" s="17" t="s">
        <v>79</v>
      </c>
      <c r="M36" s="17">
        <f>COUNTIFS($F$2:$F$350, "mañana",$G$2:$G$350,"mayo")</f>
        <v>11</v>
      </c>
      <c r="N36" s="17">
        <f>COUNTIFS($F$2:$F$350, "tarde",$G$2:$G$350,"mayo")</f>
        <v>20</v>
      </c>
      <c r="O36" s="17">
        <f t="shared" si="3"/>
        <v>31</v>
      </c>
    </row>
    <row r="37" ht="22.5" customHeight="1">
      <c r="A37" s="11">
        <v>45696.0</v>
      </c>
      <c r="B37" s="12" t="s">
        <v>19</v>
      </c>
      <c r="C37" s="12" t="s">
        <v>9</v>
      </c>
      <c r="D37" s="13">
        <v>7.0</v>
      </c>
      <c r="E37" s="12" t="s">
        <v>10</v>
      </c>
      <c r="F37" s="12" t="s">
        <v>11</v>
      </c>
      <c r="G37" s="12" t="s">
        <v>27</v>
      </c>
      <c r="H37" s="8" t="str">
        <f t="shared" si="1"/>
        <v>02_febrero</v>
      </c>
      <c r="I37" s="14" t="s">
        <v>40</v>
      </c>
      <c r="J37" s="10" t="str">
        <f t="shared" si="2"/>
        <v>6_sábado</v>
      </c>
      <c r="L37" s="17" t="s">
        <v>80</v>
      </c>
      <c r="M37" s="17">
        <f>COUNTIFS($F$2:$F$350, "mañana",$G$2:$G$350,"junio")</f>
        <v>5</v>
      </c>
      <c r="N37" s="17">
        <f>COUNTIFS($F$2:$F$350, "tarde",$G$2:$G$350,"junio")</f>
        <v>12</v>
      </c>
      <c r="O37" s="17">
        <f t="shared" si="3"/>
        <v>17</v>
      </c>
    </row>
    <row r="38" ht="22.5" customHeight="1">
      <c r="A38" s="5">
        <v>45697.0</v>
      </c>
      <c r="B38" s="6" t="s">
        <v>19</v>
      </c>
      <c r="C38" s="6" t="s">
        <v>9</v>
      </c>
      <c r="D38" s="7">
        <v>7.0</v>
      </c>
      <c r="E38" s="6" t="s">
        <v>10</v>
      </c>
      <c r="F38" s="6" t="s">
        <v>11</v>
      </c>
      <c r="G38" s="6" t="s">
        <v>27</v>
      </c>
      <c r="H38" s="8" t="str">
        <f t="shared" si="1"/>
        <v>02_febrero</v>
      </c>
      <c r="I38" s="15" t="s">
        <v>13</v>
      </c>
      <c r="J38" s="10" t="str">
        <f t="shared" si="2"/>
        <v>7_domingo</v>
      </c>
      <c r="L38" s="17" t="s">
        <v>81</v>
      </c>
      <c r="M38" s="17">
        <f>COUNTIFS($F$2:$F$350, "mañana",$G$2:$G$350,"julio")</f>
        <v>5</v>
      </c>
      <c r="N38" s="17">
        <f>COUNTIFS($F$2:$F$350, "tarde",$G$2:$G$350,"julio")</f>
        <v>9</v>
      </c>
      <c r="O38" s="17">
        <f t="shared" si="3"/>
        <v>14</v>
      </c>
    </row>
    <row r="39" ht="22.5" customHeight="1">
      <c r="A39" s="11">
        <v>45698.0</v>
      </c>
      <c r="B39" s="12" t="s">
        <v>8</v>
      </c>
      <c r="C39" s="12" t="s">
        <v>9</v>
      </c>
      <c r="D39" s="13">
        <v>14.0</v>
      </c>
      <c r="E39" s="12" t="s">
        <v>10</v>
      </c>
      <c r="F39" s="12" t="s">
        <v>11</v>
      </c>
      <c r="G39" s="12" t="s">
        <v>27</v>
      </c>
      <c r="H39" s="8" t="str">
        <f t="shared" si="1"/>
        <v>02_febrero</v>
      </c>
      <c r="I39" s="14" t="s">
        <v>39</v>
      </c>
      <c r="J39" s="10" t="str">
        <f t="shared" si="2"/>
        <v>1_lunes</v>
      </c>
      <c r="L39" s="17" t="s">
        <v>82</v>
      </c>
      <c r="M39" s="17">
        <f>COUNTIFS($F$2:$F$350, "mañana",$G$2:$G$350,"agosto")</f>
        <v>4</v>
      </c>
      <c r="N39" s="17">
        <f>COUNTIFS($F$2:$F$350, "tarde",$G$2:$G$350,"agosto")</f>
        <v>9</v>
      </c>
      <c r="O39" s="17">
        <f t="shared" si="3"/>
        <v>13</v>
      </c>
    </row>
    <row r="40" ht="22.5" customHeight="1">
      <c r="A40" s="5">
        <v>45699.0</v>
      </c>
      <c r="B40" s="6" t="s">
        <v>8</v>
      </c>
      <c r="C40" s="6" t="s">
        <v>21</v>
      </c>
      <c r="D40" s="7">
        <v>14.0</v>
      </c>
      <c r="E40" s="6" t="s">
        <v>10</v>
      </c>
      <c r="F40" s="6" t="s">
        <v>15</v>
      </c>
      <c r="G40" s="6" t="s">
        <v>27</v>
      </c>
      <c r="H40" s="8" t="str">
        <f t="shared" si="1"/>
        <v>02_febrero</v>
      </c>
      <c r="I40" s="15" t="s">
        <v>16</v>
      </c>
      <c r="J40" s="10" t="str">
        <f t="shared" si="2"/>
        <v>2_martes</v>
      </c>
      <c r="L40" s="17" t="s">
        <v>83</v>
      </c>
      <c r="M40" s="17">
        <f>COUNTIFS($F$2:$F$350, "mañana",$G$2:$G$350,"septiembre")</f>
        <v>6</v>
      </c>
      <c r="N40" s="17">
        <f>COUNTIFS($F$2:$F$350, "tarde",$G$2:$G$350,"septiembre")</f>
        <v>11</v>
      </c>
      <c r="O40" s="17">
        <f t="shared" si="3"/>
        <v>17</v>
      </c>
    </row>
    <row r="41" ht="22.5" customHeight="1">
      <c r="A41" s="11">
        <v>45700.0</v>
      </c>
      <c r="B41" s="12" t="s">
        <v>17</v>
      </c>
      <c r="C41" s="12" t="s">
        <v>9</v>
      </c>
      <c r="D41" s="13">
        <v>10.0</v>
      </c>
      <c r="E41" s="12" t="s">
        <v>10</v>
      </c>
      <c r="F41" s="12" t="s">
        <v>11</v>
      </c>
      <c r="G41" s="12" t="s">
        <v>27</v>
      </c>
      <c r="H41" s="8" t="str">
        <f t="shared" si="1"/>
        <v>02_febrero</v>
      </c>
      <c r="I41" s="14" t="s">
        <v>18</v>
      </c>
      <c r="J41" s="10" t="str">
        <f t="shared" si="2"/>
        <v>3_miércoles</v>
      </c>
      <c r="L41" s="17" t="s">
        <v>84</v>
      </c>
      <c r="M41" s="17">
        <f>COUNTIFS($F$2:$F$350, "mañana",$G$2:$G$350,"octubre")</f>
        <v>6</v>
      </c>
      <c r="N41" s="17">
        <f>COUNTIFS($F$2:$F$350, "tarde",$G$2:$G$350,"octubre")</f>
        <v>12</v>
      </c>
      <c r="O41" s="17">
        <f t="shared" si="3"/>
        <v>18</v>
      </c>
    </row>
    <row r="42" ht="22.5" customHeight="1">
      <c r="A42" s="5">
        <v>45701.0</v>
      </c>
      <c r="B42" s="6" t="s">
        <v>17</v>
      </c>
      <c r="C42" s="6" t="s">
        <v>9</v>
      </c>
      <c r="D42" s="7">
        <v>12.0</v>
      </c>
      <c r="E42" s="6" t="s">
        <v>10</v>
      </c>
      <c r="F42" s="6" t="s">
        <v>15</v>
      </c>
      <c r="G42" s="6" t="s">
        <v>27</v>
      </c>
      <c r="H42" s="8" t="str">
        <f t="shared" si="1"/>
        <v>02_febrero</v>
      </c>
      <c r="I42" s="15" t="s">
        <v>33</v>
      </c>
      <c r="J42" s="10" t="str">
        <f t="shared" si="2"/>
        <v>4_jueves</v>
      </c>
      <c r="L42" s="17" t="s">
        <v>85</v>
      </c>
      <c r="M42" s="17">
        <f>COUNTIFS($F$2:$F$350, "mañana",$G$2:$G$350,"noviembre")</f>
        <v>6</v>
      </c>
      <c r="N42" s="17">
        <f>COUNTIFS($F$2:$F$350, "tarde",$G$2:$G$350,"noviembre")</f>
        <v>11</v>
      </c>
      <c r="O42" s="17">
        <f t="shared" si="3"/>
        <v>17</v>
      </c>
    </row>
    <row r="43" ht="22.5" customHeight="1">
      <c r="A43" s="11">
        <v>45702.0</v>
      </c>
      <c r="B43" s="12" t="s">
        <v>8</v>
      </c>
      <c r="C43" s="12" t="s">
        <v>9</v>
      </c>
      <c r="D43" s="13">
        <v>14.0</v>
      </c>
      <c r="E43" s="12" t="s">
        <v>10</v>
      </c>
      <c r="F43" s="12" t="s">
        <v>11</v>
      </c>
      <c r="G43" s="12" t="s">
        <v>27</v>
      </c>
      <c r="H43" s="8" t="str">
        <f t="shared" si="1"/>
        <v>02_febrero</v>
      </c>
      <c r="I43" s="14" t="s">
        <v>20</v>
      </c>
      <c r="J43" s="10" t="str">
        <f t="shared" si="2"/>
        <v>5_viernes</v>
      </c>
      <c r="L43" s="17" t="s">
        <v>86</v>
      </c>
      <c r="M43" s="17">
        <f>COUNTIFS($F$2:$F$350, "mañana",$G$2:$G$350,"diciembre")</f>
        <v>6</v>
      </c>
      <c r="N43" s="17">
        <f>COUNTIFS($F$2:$F$350, "tarde",$G$2:$G$350,"diciembre")</f>
        <v>11</v>
      </c>
      <c r="O43" s="17">
        <f>SUM(M43:N43)</f>
        <v>17</v>
      </c>
    </row>
    <row r="44" ht="22.5" customHeight="1">
      <c r="A44" s="5">
        <v>45703.0</v>
      </c>
      <c r="B44" s="6" t="s">
        <v>8</v>
      </c>
      <c r="C44" s="6" t="s">
        <v>21</v>
      </c>
      <c r="D44" s="7">
        <v>15.0</v>
      </c>
      <c r="E44" s="6" t="s">
        <v>10</v>
      </c>
      <c r="F44" s="6" t="s">
        <v>11</v>
      </c>
      <c r="G44" s="6" t="s">
        <v>27</v>
      </c>
      <c r="H44" s="8" t="str">
        <f t="shared" si="1"/>
        <v>02_febrero</v>
      </c>
      <c r="I44" s="15" t="s">
        <v>40</v>
      </c>
      <c r="J44" s="10" t="str">
        <f t="shared" si="2"/>
        <v>6_sábado</v>
      </c>
      <c r="L44" s="29"/>
      <c r="M44" s="29"/>
      <c r="N44" s="30" t="s">
        <v>54</v>
      </c>
      <c r="O44" s="31">
        <f>SUM(Préstamos_meses[Total préstamos:])</f>
        <v>261</v>
      </c>
    </row>
    <row r="45" ht="22.5" customHeight="1">
      <c r="A45" s="11">
        <v>45704.0</v>
      </c>
      <c r="B45" s="12" t="s">
        <v>23</v>
      </c>
      <c r="C45" s="12" t="s">
        <v>9</v>
      </c>
      <c r="D45" s="13">
        <v>21.0</v>
      </c>
      <c r="E45" s="12" t="s">
        <v>10</v>
      </c>
      <c r="F45" s="12" t="s">
        <v>15</v>
      </c>
      <c r="G45" s="12" t="s">
        <v>27</v>
      </c>
      <c r="H45" s="8" t="str">
        <f t="shared" si="1"/>
        <v>02_febrero</v>
      </c>
      <c r="I45" s="14" t="s">
        <v>13</v>
      </c>
      <c r="J45" s="10" t="str">
        <f t="shared" si="2"/>
        <v>7_domingo</v>
      </c>
    </row>
    <row r="46" ht="22.5" customHeight="1">
      <c r="A46" s="5">
        <v>45705.0</v>
      </c>
      <c r="B46" s="6" t="s">
        <v>23</v>
      </c>
      <c r="C46" s="6" t="s">
        <v>9</v>
      </c>
      <c r="D46" s="7">
        <v>19.0</v>
      </c>
      <c r="E46" s="6" t="s">
        <v>10</v>
      </c>
      <c r="F46" s="6" t="s">
        <v>11</v>
      </c>
      <c r="G46" s="6" t="s">
        <v>27</v>
      </c>
      <c r="H46" s="8" t="str">
        <f t="shared" si="1"/>
        <v>02_febrero</v>
      </c>
      <c r="I46" s="15" t="s">
        <v>39</v>
      </c>
      <c r="J46" s="10" t="str">
        <f t="shared" si="2"/>
        <v>1_lunes</v>
      </c>
    </row>
    <row r="47" ht="22.5" customHeight="1">
      <c r="A47" s="11">
        <v>45706.0</v>
      </c>
      <c r="B47" s="12" t="s">
        <v>14</v>
      </c>
      <c r="C47" s="12" t="s">
        <v>9</v>
      </c>
      <c r="D47" s="13">
        <v>23.0</v>
      </c>
      <c r="E47" s="12" t="s">
        <v>10</v>
      </c>
      <c r="F47" s="12" t="s">
        <v>11</v>
      </c>
      <c r="G47" s="12" t="s">
        <v>27</v>
      </c>
      <c r="H47" s="8" t="str">
        <f t="shared" si="1"/>
        <v>02_febrero</v>
      </c>
      <c r="I47" s="14" t="s">
        <v>16</v>
      </c>
      <c r="J47" s="10" t="str">
        <f t="shared" si="2"/>
        <v>2_martes</v>
      </c>
    </row>
    <row r="48" ht="22.5" customHeight="1">
      <c r="A48" s="5">
        <v>45707.0</v>
      </c>
      <c r="B48" s="6" t="s">
        <v>8</v>
      </c>
      <c r="C48" s="6" t="s">
        <v>9</v>
      </c>
      <c r="D48" s="7">
        <v>15.0</v>
      </c>
      <c r="E48" s="6" t="s">
        <v>10</v>
      </c>
      <c r="F48" s="6" t="s">
        <v>11</v>
      </c>
      <c r="G48" s="6" t="s">
        <v>27</v>
      </c>
      <c r="H48" s="8" t="str">
        <f t="shared" si="1"/>
        <v>02_febrero</v>
      </c>
      <c r="I48" s="15" t="s">
        <v>18</v>
      </c>
      <c r="J48" s="10" t="str">
        <f t="shared" si="2"/>
        <v>3_miércoles</v>
      </c>
      <c r="L48" s="16" t="s">
        <v>1</v>
      </c>
      <c r="M48" s="16" t="s">
        <v>87</v>
      </c>
      <c r="N48" s="16" t="s">
        <v>88</v>
      </c>
      <c r="O48" s="16" t="s">
        <v>89</v>
      </c>
    </row>
    <row r="49" ht="22.5" customHeight="1">
      <c r="A49" s="11">
        <v>45708.0</v>
      </c>
      <c r="B49" s="12" t="s">
        <v>14</v>
      </c>
      <c r="C49" s="12" t="s">
        <v>9</v>
      </c>
      <c r="D49" s="13">
        <v>22.0</v>
      </c>
      <c r="E49" s="12" t="s">
        <v>10</v>
      </c>
      <c r="F49" s="12" t="s">
        <v>15</v>
      </c>
      <c r="G49" s="12" t="s">
        <v>27</v>
      </c>
      <c r="H49" s="8" t="str">
        <f t="shared" si="1"/>
        <v>02_febrero</v>
      </c>
      <c r="I49" s="14" t="s">
        <v>33</v>
      </c>
      <c r="J49" s="10" t="str">
        <f t="shared" si="2"/>
        <v>4_jueves</v>
      </c>
      <c r="L49" s="17" t="s">
        <v>47</v>
      </c>
      <c r="M49" s="32">
        <f>COUNTIFS($B$2:$B$350,"ficcion",$C$2:$C$350, "español")</f>
        <v>74</v>
      </c>
      <c r="N49" s="32">
        <f>COUNTIFS($B$2:$B$350,"ficcion",$C$2:$C$350,Préstamos_idioma[[#HEADERS],[Inglés]])</f>
        <v>18</v>
      </c>
      <c r="O49" s="32">
        <f>COUNTIFS($B$2:$B$350,"ficcion",$C$2:$C$350,"catalán")</f>
        <v>11</v>
      </c>
    </row>
    <row r="50" ht="22.5" customHeight="1">
      <c r="A50" s="5">
        <v>45709.0</v>
      </c>
      <c r="B50" s="6" t="s">
        <v>17</v>
      </c>
      <c r="C50" s="6" t="s">
        <v>9</v>
      </c>
      <c r="D50" s="7">
        <v>11.0</v>
      </c>
      <c r="E50" s="6" t="s">
        <v>10</v>
      </c>
      <c r="F50" s="6" t="s">
        <v>15</v>
      </c>
      <c r="G50" s="6" t="s">
        <v>27</v>
      </c>
      <c r="H50" s="8" t="str">
        <f t="shared" si="1"/>
        <v>02_febrero</v>
      </c>
      <c r="I50" s="15" t="s">
        <v>20</v>
      </c>
      <c r="J50" s="10" t="str">
        <f t="shared" si="2"/>
        <v>5_viernes</v>
      </c>
      <c r="L50" s="17" t="s">
        <v>48</v>
      </c>
      <c r="M50" s="32">
        <f>COUNTIFS(B$2:B$350,"ensayo",C$2:C$350, "español")</f>
        <v>30</v>
      </c>
      <c r="N50" s="32">
        <f>COUNTIFS($B$2:$B$350,"ensayo",$C$2:$C$350,Préstamos_idioma[[#HEADERS],[Inglés]])</f>
        <v>0</v>
      </c>
      <c r="O50" s="32">
        <f>COUNTIFS($B$2:$B$350,"ensayo",$C$2:$C$350,"catalán")</f>
        <v>4</v>
      </c>
    </row>
    <row r="51" ht="22.5" customHeight="1">
      <c r="A51" s="11">
        <v>45710.0</v>
      </c>
      <c r="B51" s="12" t="s">
        <v>8</v>
      </c>
      <c r="C51" s="12" t="s">
        <v>9</v>
      </c>
      <c r="D51" s="13">
        <v>14.0</v>
      </c>
      <c r="E51" s="12" t="s">
        <v>10</v>
      </c>
      <c r="F51" s="12" t="s">
        <v>11</v>
      </c>
      <c r="G51" s="12" t="s">
        <v>27</v>
      </c>
      <c r="H51" s="8" t="str">
        <f t="shared" si="1"/>
        <v>02_febrero</v>
      </c>
      <c r="I51" s="14" t="s">
        <v>40</v>
      </c>
      <c r="J51" s="10" t="str">
        <f t="shared" si="2"/>
        <v>6_sábado</v>
      </c>
      <c r="L51" s="17" t="s">
        <v>49</v>
      </c>
      <c r="M51" s="32">
        <f>COUNTIFS(B$2:B$350,"infantil",C$2:C$350, "español")</f>
        <v>41</v>
      </c>
      <c r="N51" s="32">
        <f>COUNTIFS($B$2:$B$350,"infantil",$C$2:$C$350,Préstamos_idioma[[#HEADERS],[Inglés]])</f>
        <v>0</v>
      </c>
      <c r="O51" s="32">
        <f>COUNTIFS($B$2:$B$350,"infantil",$C$2:$C$350,"catalán")</f>
        <v>14</v>
      </c>
    </row>
    <row r="52" ht="22.5" customHeight="1">
      <c r="A52" s="5">
        <v>45711.0</v>
      </c>
      <c r="B52" s="6" t="s">
        <v>8</v>
      </c>
      <c r="C52" s="6" t="s">
        <v>24</v>
      </c>
      <c r="D52" s="7">
        <v>14.0</v>
      </c>
      <c r="E52" s="6" t="s">
        <v>10</v>
      </c>
      <c r="F52" s="6" t="s">
        <v>11</v>
      </c>
      <c r="G52" s="6" t="s">
        <v>27</v>
      </c>
      <c r="H52" s="8" t="str">
        <f t="shared" si="1"/>
        <v>02_febrero</v>
      </c>
      <c r="I52" s="15" t="s">
        <v>13</v>
      </c>
      <c r="J52" s="10" t="str">
        <f t="shared" si="2"/>
        <v>7_domingo</v>
      </c>
      <c r="L52" s="17" t="s">
        <v>50</v>
      </c>
      <c r="M52" s="32">
        <f>COUNTIFS(B$2:B$350,"comic",C$2:C$350, "español")</f>
        <v>35</v>
      </c>
      <c r="N52" s="32">
        <f>COUNTIFS($B$2:$B$350,"comic",$C$2:$C$350,Préstamos_idioma[[#HEADERS],[Inglés]])</f>
        <v>0</v>
      </c>
      <c r="O52" s="32">
        <f>COUNTIFS($B$2:$B$350,"comic",$C$2:$C$350,"catalán")</f>
        <v>0</v>
      </c>
    </row>
    <row r="53" ht="22.5" customHeight="1">
      <c r="A53" s="11">
        <v>45712.0</v>
      </c>
      <c r="B53" s="12" t="s">
        <v>19</v>
      </c>
      <c r="C53" s="12" t="s">
        <v>9</v>
      </c>
      <c r="D53" s="13">
        <v>7.0</v>
      </c>
      <c r="E53" s="12" t="s">
        <v>10</v>
      </c>
      <c r="F53" s="12" t="s">
        <v>11</v>
      </c>
      <c r="G53" s="12" t="s">
        <v>27</v>
      </c>
      <c r="H53" s="8" t="str">
        <f t="shared" si="1"/>
        <v>02_febrero</v>
      </c>
      <c r="I53" s="14" t="s">
        <v>39</v>
      </c>
      <c r="J53" s="10" t="str">
        <f t="shared" si="2"/>
        <v>1_lunes</v>
      </c>
      <c r="L53" s="17" t="s">
        <v>52</v>
      </c>
      <c r="M53" s="32">
        <f>COUNTIFS(B$2:B$350,"novela_grafica",C$2:C$350, "español")</f>
        <v>17</v>
      </c>
      <c r="N53" s="32">
        <f>COUNTIFS($B$2:$B$350,"novela_grafica",$C$2:$C$350,Préstamos_idioma[[#HEADERS],[Inglés]])</f>
        <v>0</v>
      </c>
      <c r="O53" s="32">
        <f>COUNTIFS($B$2:$B$350,"novela_grafica",$C$2:$C$350,"catalán")</f>
        <v>0</v>
      </c>
    </row>
    <row r="54" ht="22.5" customHeight="1">
      <c r="A54" s="5">
        <v>45713.0</v>
      </c>
      <c r="B54" s="6" t="s">
        <v>19</v>
      </c>
      <c r="C54" s="6" t="s">
        <v>9</v>
      </c>
      <c r="D54" s="7">
        <v>7.0</v>
      </c>
      <c r="E54" s="6" t="s">
        <v>10</v>
      </c>
      <c r="F54" s="6" t="s">
        <v>11</v>
      </c>
      <c r="G54" s="6" t="s">
        <v>27</v>
      </c>
      <c r="H54" s="8" t="str">
        <f t="shared" si="1"/>
        <v>02_febrero</v>
      </c>
      <c r="I54" s="15" t="s">
        <v>16</v>
      </c>
      <c r="J54" s="10" t="str">
        <f t="shared" si="2"/>
        <v>2_martes</v>
      </c>
      <c r="L54" s="17" t="s">
        <v>51</v>
      </c>
      <c r="M54" s="32">
        <f>COUNTIFS(B$2:B$350,"poesia",C$2:C$350, "español")</f>
        <v>3</v>
      </c>
      <c r="N54" s="32">
        <f>COUNTIFS($B$2:$B$350,"poesia",$C$2:$C$350,Préstamos_idioma[[#HEADERS],[Inglés]])</f>
        <v>0</v>
      </c>
      <c r="O54" s="32">
        <f>COUNTIFS($B$2:$B$350,"poesia",$C$2:$C$350,"catalán")</f>
        <v>0</v>
      </c>
    </row>
    <row r="55" ht="22.5" customHeight="1">
      <c r="A55" s="11">
        <v>45714.0</v>
      </c>
      <c r="B55" s="12" t="s">
        <v>26</v>
      </c>
      <c r="C55" s="12" t="s">
        <v>21</v>
      </c>
      <c r="D55" s="13">
        <v>25.0</v>
      </c>
      <c r="E55" s="12" t="s">
        <v>10</v>
      </c>
      <c r="F55" s="12" t="s">
        <v>15</v>
      </c>
      <c r="G55" s="12" t="s">
        <v>27</v>
      </c>
      <c r="H55" s="8" t="str">
        <f t="shared" si="1"/>
        <v>02_febrero</v>
      </c>
      <c r="I55" s="14" t="s">
        <v>18</v>
      </c>
      <c r="J55" s="10" t="str">
        <f t="shared" si="2"/>
        <v>3_miércoles</v>
      </c>
      <c r="L55" s="17" t="s">
        <v>53</v>
      </c>
      <c r="M55" s="32">
        <f>COUNTIFS(B$2:B$350,"divulgacion",C$2:C$350, "español")</f>
        <v>9</v>
      </c>
      <c r="N55" s="32">
        <f>COUNTIFS($B$2:$B$350,"divulgacion",$C$2:$C$350,Préstamos_idioma[[#HEADERS],[Inglés]])</f>
        <v>5</v>
      </c>
      <c r="O55" s="32">
        <f>COUNTIFS($B$2:$B$350,"divulgacion",$C$2:$C$350,"catalán")</f>
        <v>0</v>
      </c>
    </row>
    <row r="56" ht="22.5" customHeight="1">
      <c r="A56" s="5">
        <v>45715.0</v>
      </c>
      <c r="B56" s="6" t="s">
        <v>17</v>
      </c>
      <c r="C56" s="6" t="s">
        <v>24</v>
      </c>
      <c r="D56" s="7">
        <v>10.0</v>
      </c>
      <c r="E56" s="6" t="s">
        <v>10</v>
      </c>
      <c r="F56" s="6" t="s">
        <v>15</v>
      </c>
      <c r="G56" s="6" t="s">
        <v>27</v>
      </c>
      <c r="H56" s="8" t="str">
        <f t="shared" si="1"/>
        <v>02_febrero</v>
      </c>
      <c r="I56" s="15" t="s">
        <v>33</v>
      </c>
      <c r="J56" s="10" t="str">
        <f t="shared" si="2"/>
        <v>4_jueves</v>
      </c>
      <c r="L56" s="20" t="s">
        <v>90</v>
      </c>
      <c r="M56" s="32">
        <f t="shared" ref="M56:O56" si="4">SUM(M49:M55)</f>
        <v>209</v>
      </c>
      <c r="N56" s="32">
        <f t="shared" si="4"/>
        <v>23</v>
      </c>
      <c r="O56" s="32">
        <f t="shared" si="4"/>
        <v>29</v>
      </c>
    </row>
    <row r="57" ht="22.5" customHeight="1">
      <c r="A57" s="11">
        <v>45716.0</v>
      </c>
      <c r="B57" s="12" t="s">
        <v>8</v>
      </c>
      <c r="C57" s="12" t="s">
        <v>9</v>
      </c>
      <c r="D57" s="13">
        <v>14.0</v>
      </c>
      <c r="E57" s="12" t="s">
        <v>10</v>
      </c>
      <c r="F57" s="12" t="s">
        <v>11</v>
      </c>
      <c r="G57" s="12" t="s">
        <v>27</v>
      </c>
      <c r="H57" s="8" t="str">
        <f t="shared" si="1"/>
        <v>02_febrero</v>
      </c>
      <c r="I57" s="14" t="s">
        <v>20</v>
      </c>
      <c r="J57" s="10" t="str">
        <f t="shared" si="2"/>
        <v>5_viernes</v>
      </c>
      <c r="L57" s="33" t="s">
        <v>91</v>
      </c>
      <c r="M57" s="34">
        <f t="shared" ref="M57:O57" si="5">M56/261*100</f>
        <v>80.07662835</v>
      </c>
      <c r="N57" s="34">
        <f t="shared" si="5"/>
        <v>8.812260536</v>
      </c>
      <c r="O57" s="34">
        <f t="shared" si="5"/>
        <v>11.11111111</v>
      </c>
    </row>
    <row r="58" ht="22.5" customHeight="1">
      <c r="A58" s="5">
        <v>45717.0</v>
      </c>
      <c r="B58" s="6" t="s">
        <v>8</v>
      </c>
      <c r="C58" s="6" t="s">
        <v>9</v>
      </c>
      <c r="D58" s="7">
        <v>14.0</v>
      </c>
      <c r="E58" s="6" t="s">
        <v>10</v>
      </c>
      <c r="F58" s="6" t="s">
        <v>11</v>
      </c>
      <c r="G58" s="6" t="s">
        <v>28</v>
      </c>
      <c r="H58" s="8" t="str">
        <f t="shared" si="1"/>
        <v>03_marzo</v>
      </c>
      <c r="I58" s="15" t="s">
        <v>40</v>
      </c>
      <c r="J58" s="10" t="str">
        <f t="shared" si="2"/>
        <v>6_sábado</v>
      </c>
    </row>
    <row r="59" ht="22.5" customHeight="1">
      <c r="A59" s="11">
        <v>45718.0</v>
      </c>
      <c r="B59" s="12" t="s">
        <v>17</v>
      </c>
      <c r="C59" s="12" t="s">
        <v>9</v>
      </c>
      <c r="D59" s="13">
        <v>9.0</v>
      </c>
      <c r="E59" s="12" t="s">
        <v>10</v>
      </c>
      <c r="F59" s="12" t="s">
        <v>11</v>
      </c>
      <c r="G59" s="12" t="s">
        <v>28</v>
      </c>
      <c r="H59" s="8" t="str">
        <f t="shared" si="1"/>
        <v>03_marzo</v>
      </c>
      <c r="I59" s="14" t="s">
        <v>13</v>
      </c>
      <c r="J59" s="10" t="str">
        <f t="shared" si="2"/>
        <v>7_domingo</v>
      </c>
      <c r="L59" s="16" t="s">
        <v>6</v>
      </c>
      <c r="M59" s="16" t="s">
        <v>92</v>
      </c>
      <c r="N59" s="16" t="s">
        <v>8</v>
      </c>
      <c r="O59" s="16" t="s">
        <v>14</v>
      </c>
      <c r="P59" s="16" t="s">
        <v>17</v>
      </c>
      <c r="Q59" s="16" t="s">
        <v>19</v>
      </c>
      <c r="R59" s="16" t="s">
        <v>23</v>
      </c>
      <c r="S59" s="16" t="s">
        <v>25</v>
      </c>
      <c r="T59" s="16" t="s">
        <v>26</v>
      </c>
    </row>
    <row r="60" ht="22.5" customHeight="1">
      <c r="A60" s="5">
        <v>45719.0</v>
      </c>
      <c r="B60" s="6" t="s">
        <v>14</v>
      </c>
      <c r="C60" s="6" t="s">
        <v>9</v>
      </c>
      <c r="D60" s="7">
        <v>23.0</v>
      </c>
      <c r="E60" s="6" t="s">
        <v>10</v>
      </c>
      <c r="F60" s="6" t="s">
        <v>11</v>
      </c>
      <c r="G60" s="6" t="s">
        <v>28</v>
      </c>
      <c r="H60" s="8" t="str">
        <f t="shared" si="1"/>
        <v>03_marzo</v>
      </c>
      <c r="I60" s="15" t="s">
        <v>39</v>
      </c>
      <c r="J60" s="10" t="str">
        <f t="shared" si="2"/>
        <v>1_lunes</v>
      </c>
      <c r="L60" s="17" t="s">
        <v>75</v>
      </c>
      <c r="M60" s="32">
        <f>COUNTIF(G2:G263, "enero")</f>
        <v>28</v>
      </c>
      <c r="N60" s="32">
        <f>COUNTIFS(B2:B263, "ficcion", G2:G263, "enero")</f>
        <v>10</v>
      </c>
      <c r="O60" s="32">
        <f>COUNTIFS(B2:B263, "ensayo", G2:G263, "enero")</f>
        <v>4</v>
      </c>
      <c r="P60" s="32">
        <f>COUNTIFS(B2:B263, "infantil", G2:G263, "enero")</f>
        <v>5</v>
      </c>
      <c r="Q60" s="32">
        <f>COUNTIFS(B2:B263, "comic", G2:G263, "enero")</f>
        <v>4</v>
      </c>
      <c r="R60" s="32">
        <f>COUNTIFS(B2:B263, "novela_grafica", G2:G263, "enero")</f>
        <v>2</v>
      </c>
      <c r="S60" s="32">
        <f>COUNTIFS(B2:B263, "poesia", G2:G263, "enero")</f>
        <v>1</v>
      </c>
      <c r="T60" s="32">
        <f>COUNTIFS(B2:B263, "divulgacion", G2:G263, "enero")</f>
        <v>2</v>
      </c>
    </row>
    <row r="61" ht="22.5" customHeight="1">
      <c r="A61" s="11">
        <v>45720.0</v>
      </c>
      <c r="B61" s="12" t="s">
        <v>8</v>
      </c>
      <c r="C61" s="12" t="s">
        <v>9</v>
      </c>
      <c r="D61" s="13">
        <v>14.0</v>
      </c>
      <c r="E61" s="12" t="s">
        <v>10</v>
      </c>
      <c r="F61" s="12" t="s">
        <v>15</v>
      </c>
      <c r="G61" s="12" t="s">
        <v>28</v>
      </c>
      <c r="H61" s="8" t="str">
        <f t="shared" si="1"/>
        <v>03_marzo</v>
      </c>
      <c r="I61" s="14" t="s">
        <v>16</v>
      </c>
      <c r="J61" s="10" t="str">
        <f t="shared" si="2"/>
        <v>2_martes</v>
      </c>
      <c r="L61" s="17" t="s">
        <v>76</v>
      </c>
      <c r="M61" s="32">
        <f>COUNTIF(G2:G263, "febrero")</f>
        <v>28</v>
      </c>
      <c r="N61" s="32">
        <f>COUNTIFS(B2:B263, "ficcion", G2:G263, "febrero")</f>
        <v>11</v>
      </c>
      <c r="O61" s="32">
        <f>COUNTIFS(B2:B263, "ensayo", G2:G263, "febrero")</f>
        <v>4</v>
      </c>
      <c r="P61" s="32">
        <f>COUNTIFS(B2:B263, "infantil", G2:G263, "febrero")</f>
        <v>6</v>
      </c>
      <c r="Q61" s="32">
        <f>COUNTIFS(B2:B263, "comic", G2:G263, "febrero")</f>
        <v>4</v>
      </c>
      <c r="R61" s="32">
        <f>COUNTIFS(B2:B263, "novela_grafica", G2:G263, "febrero")</f>
        <v>2</v>
      </c>
      <c r="S61" s="32">
        <f>COUNTIFS(B2:B263, "poesia", G2:G263, "febrero")</f>
        <v>0</v>
      </c>
      <c r="T61" s="32">
        <f>COUNTIFS(B2:B263, "divulgacion", G2:G263, "febrero")</f>
        <v>1</v>
      </c>
    </row>
    <row r="62" ht="22.5" customHeight="1">
      <c r="A62" s="5">
        <v>45721.0</v>
      </c>
      <c r="B62" s="6" t="s">
        <v>14</v>
      </c>
      <c r="C62" s="6" t="s">
        <v>9</v>
      </c>
      <c r="D62" s="7">
        <v>22.0</v>
      </c>
      <c r="E62" s="6" t="s">
        <v>10</v>
      </c>
      <c r="F62" s="6" t="s">
        <v>11</v>
      </c>
      <c r="G62" s="6" t="s">
        <v>28</v>
      </c>
      <c r="H62" s="8" t="str">
        <f t="shared" si="1"/>
        <v>03_marzo</v>
      </c>
      <c r="I62" s="15" t="s">
        <v>18</v>
      </c>
      <c r="J62" s="10" t="str">
        <f t="shared" si="2"/>
        <v>3_miércoles</v>
      </c>
      <c r="L62" s="17" t="s">
        <v>77</v>
      </c>
      <c r="M62" s="32">
        <f>COUNTIF(G2:G263, "marzo")</f>
        <v>31</v>
      </c>
      <c r="N62" s="32">
        <f>COUNTIFS(B2:B263, "ficcion", G2:G263, "marzo")</f>
        <v>13</v>
      </c>
      <c r="O62" s="32">
        <f>COUNTIFS(B2:B263, "ensayo", G2:G263, "marzo")</f>
        <v>4</v>
      </c>
      <c r="P62" s="32">
        <f>COUNTIFS(B2:B263, "infantil", G2:G263, "marzo")</f>
        <v>5</v>
      </c>
      <c r="Q62" s="32">
        <f>COUNTIFS(B2:B263, "comic", G2:G263, "marzo")</f>
        <v>4</v>
      </c>
      <c r="R62" s="32">
        <f>COUNTIFS(B2:B263, "novela_grafica", G2:G263, "marzo")</f>
        <v>2</v>
      </c>
      <c r="S62" s="32">
        <f>COUNTIFS(B2:B263, "poesia", G2:G263, "marzo")</f>
        <v>1</v>
      </c>
      <c r="T62" s="32">
        <f>COUNTIFS(B2:B263, "divulgacion", G2:G263, "marzo")</f>
        <v>2</v>
      </c>
    </row>
    <row r="63" ht="22.5" customHeight="1">
      <c r="A63" s="11">
        <v>45722.0</v>
      </c>
      <c r="B63" s="12" t="s">
        <v>8</v>
      </c>
      <c r="C63" s="12" t="s">
        <v>9</v>
      </c>
      <c r="D63" s="13">
        <v>14.0</v>
      </c>
      <c r="E63" s="12" t="s">
        <v>10</v>
      </c>
      <c r="F63" s="12" t="s">
        <v>15</v>
      </c>
      <c r="G63" s="12" t="s">
        <v>28</v>
      </c>
      <c r="H63" s="8" t="str">
        <f t="shared" si="1"/>
        <v>03_marzo</v>
      </c>
      <c r="I63" s="14" t="s">
        <v>33</v>
      </c>
      <c r="J63" s="10" t="str">
        <f t="shared" si="2"/>
        <v>4_jueves</v>
      </c>
      <c r="L63" s="17" t="s">
        <v>78</v>
      </c>
      <c r="M63" s="32">
        <f>COUNTIF(G2:G263, "abril")</f>
        <v>30</v>
      </c>
      <c r="N63" s="32">
        <f>COUNTIFS(B2:B263, "ficcion", G2:G263, "abril")</f>
        <v>12</v>
      </c>
      <c r="O63" s="32">
        <f>COUNTIFS(B2:B263, "ensayo", G2:G263, "abril")</f>
        <v>4</v>
      </c>
      <c r="P63" s="32">
        <f>COUNTIFS(B2:B263, "infantil", G2:G263, "abril")</f>
        <v>7</v>
      </c>
      <c r="Q63" s="32">
        <f>COUNTIFS(B2:B263, "comic", G2:G263, "abril")</f>
        <v>4</v>
      </c>
      <c r="R63" s="32">
        <f>COUNTIFS(B2:B263, "novela_grafica", G2:G263, "abril")</f>
        <v>2</v>
      </c>
      <c r="S63" s="32">
        <f>COUNTIFS(B2:B263, "poesia", G2:G263, "abril")</f>
        <v>0</v>
      </c>
      <c r="T63" s="32">
        <f>COUNTIFS(B2:B263, "divulgacion", G2:G263, "abril")</f>
        <v>1</v>
      </c>
    </row>
    <row r="64" ht="22.5" customHeight="1">
      <c r="A64" s="5">
        <v>45723.0</v>
      </c>
      <c r="B64" s="6" t="s">
        <v>8</v>
      </c>
      <c r="C64" s="6" t="s">
        <v>21</v>
      </c>
      <c r="D64" s="7">
        <v>17.0</v>
      </c>
      <c r="E64" s="6" t="s">
        <v>22</v>
      </c>
      <c r="F64" s="6" t="s">
        <v>11</v>
      </c>
      <c r="G64" s="6" t="s">
        <v>28</v>
      </c>
      <c r="H64" s="8" t="str">
        <f t="shared" si="1"/>
        <v>03_marzo</v>
      </c>
      <c r="I64" s="15" t="s">
        <v>20</v>
      </c>
      <c r="J64" s="10" t="str">
        <f t="shared" si="2"/>
        <v>5_viernes</v>
      </c>
      <c r="L64" s="17" t="s">
        <v>79</v>
      </c>
      <c r="M64" s="32">
        <f>COUNTIF(G2:G263, "mayo")</f>
        <v>31</v>
      </c>
      <c r="N64" s="32">
        <f>COUNTIFS(B2:B263, "ficcion", G2:G263, "mayo")</f>
        <v>12</v>
      </c>
      <c r="O64" s="32">
        <f>COUNTIFS(B2:B263, "ensayo", G2:G263, "mayo")</f>
        <v>4</v>
      </c>
      <c r="P64" s="32">
        <f>COUNTIFS(B2:B263, "infantil", G2:G263, "mayo")</f>
        <v>6</v>
      </c>
      <c r="Q64" s="32">
        <f>COUNTIFS(B2:B263, "comic", G2:G263, "mayo")</f>
        <v>4</v>
      </c>
      <c r="R64" s="32">
        <f>COUNTIFS(B2:B263, "novela_grafica", G2:G263, "mayo")</f>
        <v>2</v>
      </c>
      <c r="S64" s="32">
        <f>COUNTIFS(B2:B263, "poesia", G2:G263, "mayo")</f>
        <v>1</v>
      </c>
      <c r="T64" s="32">
        <f>COUNTIFS(B2:B263, "divulgacion", G2:G263, "mayo")</f>
        <v>2</v>
      </c>
    </row>
    <row r="65" ht="22.5" customHeight="1">
      <c r="A65" s="11">
        <v>45724.0</v>
      </c>
      <c r="B65" s="12" t="s">
        <v>19</v>
      </c>
      <c r="C65" s="12" t="s">
        <v>9</v>
      </c>
      <c r="D65" s="13">
        <v>7.0</v>
      </c>
      <c r="E65" s="12" t="s">
        <v>10</v>
      </c>
      <c r="F65" s="12" t="s">
        <v>11</v>
      </c>
      <c r="G65" s="12" t="s">
        <v>28</v>
      </c>
      <c r="H65" s="8" t="str">
        <f t="shared" si="1"/>
        <v>03_marzo</v>
      </c>
      <c r="I65" s="14" t="s">
        <v>40</v>
      </c>
      <c r="J65" s="10" t="str">
        <f t="shared" si="2"/>
        <v>6_sábado</v>
      </c>
      <c r="L65" s="17" t="s">
        <v>80</v>
      </c>
      <c r="M65" s="32">
        <f>COUNTIF(G2:G263, "junio")</f>
        <v>17</v>
      </c>
      <c r="N65" s="32">
        <f>COUNTIFS(B2:B263, "ficcion", G2:G263, "junio")</f>
        <v>6</v>
      </c>
      <c r="O65" s="32">
        <f>COUNTIFS(B2:B263, "ensayo", G2:G263, "junio")</f>
        <v>2</v>
      </c>
      <c r="P65" s="32">
        <f>COUNTIFS(B2:B263, "infantil", G2:G263, "junio")</f>
        <v>4</v>
      </c>
      <c r="Q65" s="32">
        <f>COUNTIFS(B2:B263, "comic", G2:G263, "junio")</f>
        <v>3</v>
      </c>
      <c r="R65" s="32">
        <f>COUNTIFS(B2:B263, "novela_grafica", G2:G263, "junio")</f>
        <v>1</v>
      </c>
      <c r="S65" s="32">
        <f>COUNTIFS(B2:B263, "poesia", G2:G263, "junio")</f>
        <v>0</v>
      </c>
      <c r="T65" s="32">
        <f>COUNTIFS(B2:B263, "divulgacion", G2:G263, "junio")</f>
        <v>1</v>
      </c>
    </row>
    <row r="66" ht="22.5" customHeight="1">
      <c r="A66" s="5">
        <v>45725.0</v>
      </c>
      <c r="B66" s="6" t="s">
        <v>19</v>
      </c>
      <c r="C66" s="6" t="s">
        <v>9</v>
      </c>
      <c r="D66" s="7">
        <v>7.0</v>
      </c>
      <c r="E66" s="6" t="s">
        <v>10</v>
      </c>
      <c r="F66" s="6" t="s">
        <v>15</v>
      </c>
      <c r="G66" s="6" t="s">
        <v>28</v>
      </c>
      <c r="H66" s="8" t="str">
        <f t="shared" si="1"/>
        <v>03_marzo</v>
      </c>
      <c r="I66" s="15" t="s">
        <v>13</v>
      </c>
      <c r="J66" s="10" t="str">
        <f t="shared" si="2"/>
        <v>7_domingo</v>
      </c>
      <c r="L66" s="17" t="s">
        <v>81</v>
      </c>
      <c r="M66" s="32">
        <f>COUNTIF(G2:G263, "julio")</f>
        <v>14</v>
      </c>
      <c r="N66" s="32">
        <f>COUNTIFS(B2:B263, "ficcion", G2:G263, "julio")</f>
        <v>6</v>
      </c>
      <c r="O66" s="32">
        <f>COUNTIFS(B2:B263, "ensayo", G2:G263, "julio")</f>
        <v>2</v>
      </c>
      <c r="P66" s="32">
        <f>COUNTIFS(B2:B263, "infantil", G2:G263, "julio")</f>
        <v>3</v>
      </c>
      <c r="Q66" s="32">
        <f>COUNTIFS(B2:B263, "comic", G2:G263, "julio")</f>
        <v>2</v>
      </c>
      <c r="R66" s="32">
        <f>COUNTIFS(B2:B263, "novela_grafica", G2:G263, "julio")</f>
        <v>1</v>
      </c>
      <c r="S66" s="32">
        <f>COUNTIFS(B2:B263, "poesia", G2:G263, "julio")</f>
        <v>0</v>
      </c>
      <c r="T66" s="32">
        <f>COUNTIFS(B2:B263, "divulgacion", G2:G263, "julio")</f>
        <v>0</v>
      </c>
    </row>
    <row r="67" ht="22.5" customHeight="1">
      <c r="A67" s="11">
        <v>45726.0</v>
      </c>
      <c r="B67" s="12" t="s">
        <v>17</v>
      </c>
      <c r="C67" s="12" t="s">
        <v>9</v>
      </c>
      <c r="D67" s="13">
        <v>11.0</v>
      </c>
      <c r="E67" s="12" t="s">
        <v>10</v>
      </c>
      <c r="F67" s="12" t="s">
        <v>11</v>
      </c>
      <c r="G67" s="12" t="s">
        <v>28</v>
      </c>
      <c r="H67" s="8" t="str">
        <f t="shared" si="1"/>
        <v>03_marzo</v>
      </c>
      <c r="I67" s="14" t="s">
        <v>39</v>
      </c>
      <c r="J67" s="10" t="str">
        <f t="shared" si="2"/>
        <v>1_lunes</v>
      </c>
      <c r="L67" s="17" t="s">
        <v>82</v>
      </c>
      <c r="M67" s="32">
        <f>COUNTIF(G2:G263, "agosto")</f>
        <v>13</v>
      </c>
      <c r="N67" s="32">
        <f>COUNTIFS(B2:B263, "ficcion", G2:G263, "agosto")</f>
        <v>5</v>
      </c>
      <c r="O67" s="32">
        <f>COUNTIFS(B2:B263, "ensayo", G2:G263, "agosto")</f>
        <v>1</v>
      </c>
      <c r="P67" s="32">
        <f>COUNTIFS(B2:B263, "infantil", G2:G263, "agosto")</f>
        <v>3</v>
      </c>
      <c r="Q67" s="32">
        <f>COUNTIFS(B2:B263, "comic", G2:G263, "agosto")</f>
        <v>2</v>
      </c>
      <c r="R67" s="32">
        <f>COUNTIFS(B2:B263, "novela_grafica", G2:G263, "agosto")</f>
        <v>1</v>
      </c>
      <c r="S67" s="32">
        <f>COUNTIFS(B2:B263, "poesia", G2:G263, "agosto")</f>
        <v>0</v>
      </c>
      <c r="T67" s="32">
        <f>COUNTIFS(B2:B263, "divulgacion", G2:G263, "agosto")</f>
        <v>1</v>
      </c>
    </row>
    <row r="68" ht="22.5" customHeight="1">
      <c r="A68" s="5">
        <v>45727.0</v>
      </c>
      <c r="B68" s="6" t="s">
        <v>17</v>
      </c>
      <c r="C68" s="6" t="s">
        <v>24</v>
      </c>
      <c r="D68" s="7">
        <v>10.0</v>
      </c>
      <c r="E68" s="6" t="s">
        <v>10</v>
      </c>
      <c r="F68" s="6" t="s">
        <v>11</v>
      </c>
      <c r="G68" s="6" t="s">
        <v>28</v>
      </c>
      <c r="H68" s="8" t="str">
        <f t="shared" si="1"/>
        <v>03_marzo</v>
      </c>
      <c r="I68" s="15" t="s">
        <v>16</v>
      </c>
      <c r="J68" s="10" t="str">
        <f t="shared" si="2"/>
        <v>2_martes</v>
      </c>
      <c r="L68" s="17" t="s">
        <v>83</v>
      </c>
      <c r="M68" s="32">
        <f>COUNTIF(G2:G263, "septiembre")</f>
        <v>17</v>
      </c>
      <c r="N68" s="32">
        <f>COUNTIFS(B2:B263, "ficcion", G2:G263, "septiembre")</f>
        <v>7</v>
      </c>
      <c r="O68" s="32">
        <f>COUNTIFS(B2:B263, "ensayo", G2:G263, "septiembre")</f>
        <v>2</v>
      </c>
      <c r="P68" s="32">
        <f>COUNTIFS(B2:B263, "infantil", G2:G263, "septiembre")</f>
        <v>4</v>
      </c>
      <c r="Q68" s="32">
        <f>COUNTIFS(B2:B263, "comic", G2:G263, "septiembre")</f>
        <v>2</v>
      </c>
      <c r="R68" s="32">
        <f>COUNTIFS(B2:B263, "novela_grafica", G2:G263, "septiembre")</f>
        <v>1</v>
      </c>
      <c r="S68" s="32">
        <f>COUNTIFS(B2:B263, "poesia", G2:G263, "septiembre")</f>
        <v>0</v>
      </c>
      <c r="T68" s="32">
        <f>COUNTIFS(B2:B263, "divulgacion", G2:G263, "septiembre")</f>
        <v>1</v>
      </c>
    </row>
    <row r="69" ht="22.5" customHeight="1">
      <c r="A69" s="11">
        <v>45728.0</v>
      </c>
      <c r="B69" s="12" t="s">
        <v>8</v>
      </c>
      <c r="C69" s="12" t="s">
        <v>9</v>
      </c>
      <c r="D69" s="13">
        <v>14.0</v>
      </c>
      <c r="E69" s="12" t="s">
        <v>10</v>
      </c>
      <c r="F69" s="12" t="s">
        <v>11</v>
      </c>
      <c r="G69" s="12" t="s">
        <v>28</v>
      </c>
      <c r="H69" s="8" t="str">
        <f t="shared" si="1"/>
        <v>03_marzo</v>
      </c>
      <c r="I69" s="14" t="s">
        <v>18</v>
      </c>
      <c r="J69" s="10" t="str">
        <f t="shared" si="2"/>
        <v>3_miércoles</v>
      </c>
      <c r="L69" s="17" t="s">
        <v>84</v>
      </c>
      <c r="M69" s="32">
        <f>COUNTIF(G2:G263, "octubre")</f>
        <v>18</v>
      </c>
      <c r="N69" s="32">
        <f>COUNTIFS(B2:B263, "ficcion", G2:G263, "octubre")</f>
        <v>7</v>
      </c>
      <c r="O69" s="32">
        <f>COUNTIFS(B2:B263, "ensayo", G2:G263, "octubre")</f>
        <v>3</v>
      </c>
      <c r="P69" s="32">
        <f>COUNTIFS(B2:B263, "infantil", G2:G263, "octubre")</f>
        <v>4</v>
      </c>
      <c r="Q69" s="32">
        <f>COUNTIFS(B2:B263, "comic", G2:G263, "octubre")</f>
        <v>2</v>
      </c>
      <c r="R69" s="32">
        <f>COUNTIFS(B2:B263, "novela_grafica", G2:G263, "octubre")</f>
        <v>1</v>
      </c>
      <c r="S69" s="32">
        <f>COUNTIFS(B2:B263, "poesia", G2:G263, "octubre")</f>
        <v>0</v>
      </c>
      <c r="T69" s="32">
        <f>COUNTIFS(B2:B263, "divulgacion", G2:G263, "octubre")</f>
        <v>1</v>
      </c>
    </row>
    <row r="70" ht="22.5" customHeight="1">
      <c r="A70" s="5">
        <v>45729.0</v>
      </c>
      <c r="B70" s="6" t="s">
        <v>26</v>
      </c>
      <c r="C70" s="6" t="s">
        <v>9</v>
      </c>
      <c r="D70" s="7">
        <v>25.0</v>
      </c>
      <c r="E70" s="6" t="s">
        <v>10</v>
      </c>
      <c r="F70" s="6" t="s">
        <v>15</v>
      </c>
      <c r="G70" s="6" t="s">
        <v>28</v>
      </c>
      <c r="H70" s="8" t="str">
        <f t="shared" si="1"/>
        <v>03_marzo</v>
      </c>
      <c r="I70" s="15" t="s">
        <v>33</v>
      </c>
      <c r="J70" s="10" t="str">
        <f t="shared" si="2"/>
        <v>4_jueves</v>
      </c>
      <c r="L70" s="17" t="s">
        <v>85</v>
      </c>
      <c r="M70" s="32">
        <f>COUNTIF(G2:G263, "noviembre")</f>
        <v>17</v>
      </c>
      <c r="N70" s="32">
        <f>COUNTIFS(B2:B263, "ficcion", G2:G263, "noviembre")</f>
        <v>7</v>
      </c>
      <c r="O70" s="32">
        <f>COUNTIFS(B2:B263, "ensayo", G2:G263, "noviembre")</f>
        <v>2</v>
      </c>
      <c r="P70" s="32">
        <f>COUNTIFS(B2:B263, "infantil", G2:G263, "noviembre")</f>
        <v>4</v>
      </c>
      <c r="Q70" s="32">
        <f>COUNTIFS(B2:B263, "comic", G2:G263, "noviembre")</f>
        <v>2</v>
      </c>
      <c r="R70" s="32">
        <f>COUNTIFS(B2:B263, "novela_grafica", G2:G263, "noviembre")</f>
        <v>1</v>
      </c>
      <c r="S70" s="32">
        <f>COUNTIFS(B2:B263, "poesia", G2:G263, "noviembre")</f>
        <v>0</v>
      </c>
      <c r="T70" s="32">
        <f>COUNTIFS(B2:B263, "divulgacion", G2:G263, "noviembre")</f>
        <v>1</v>
      </c>
    </row>
    <row r="71" ht="22.5" customHeight="1">
      <c r="A71" s="11">
        <v>45730.0</v>
      </c>
      <c r="B71" s="12" t="s">
        <v>25</v>
      </c>
      <c r="C71" s="12" t="s">
        <v>9</v>
      </c>
      <c r="D71" s="13">
        <v>35.0</v>
      </c>
      <c r="E71" s="12" t="s">
        <v>22</v>
      </c>
      <c r="F71" s="12" t="s">
        <v>15</v>
      </c>
      <c r="G71" s="12" t="s">
        <v>28</v>
      </c>
      <c r="H71" s="8" t="str">
        <f t="shared" si="1"/>
        <v>03_marzo</v>
      </c>
      <c r="I71" s="14" t="s">
        <v>20</v>
      </c>
      <c r="J71" s="10" t="str">
        <f t="shared" si="2"/>
        <v>5_viernes</v>
      </c>
      <c r="L71" s="17" t="s">
        <v>86</v>
      </c>
      <c r="M71" s="32">
        <f>COUNTIF(G2:G263, "diciembre")</f>
        <v>17</v>
      </c>
      <c r="N71" s="32">
        <f>COUNTIFS(B2:B263, "ficcion", G2:G263, "diciembre")</f>
        <v>7</v>
      </c>
      <c r="O71" s="32">
        <f>COUNTIFS(B2:B263, "ensayo", G2:G263, "diciembre")</f>
        <v>2</v>
      </c>
      <c r="P71" s="32">
        <f>COUNTIFS(B2:B263, "infantil", G2:G263, "diciembre")</f>
        <v>4</v>
      </c>
      <c r="Q71" s="32">
        <f>COUNTIFS(B2:B263, "comic", G2:G263, "diciembre")</f>
        <v>2</v>
      </c>
      <c r="R71" s="32">
        <f>COUNTIFS(B2:B263, "novela_grafica", G2:G263, "diciembre")</f>
        <v>1</v>
      </c>
      <c r="S71" s="32">
        <f>COUNTIFS(B2:B263, "poesia", G2:G263, "diciembre")</f>
        <v>0</v>
      </c>
      <c r="T71" s="32">
        <f>COUNTIFS(B2:B263, "divulgacion", G2:G263, "diciembre")</f>
        <v>1</v>
      </c>
    </row>
    <row r="72" ht="22.5" customHeight="1">
      <c r="A72" s="5">
        <v>45731.0</v>
      </c>
      <c r="B72" s="6" t="s">
        <v>8</v>
      </c>
      <c r="C72" s="6" t="s">
        <v>21</v>
      </c>
      <c r="D72" s="7">
        <v>14.0</v>
      </c>
      <c r="E72" s="6" t="s">
        <v>10</v>
      </c>
      <c r="F72" s="6" t="s">
        <v>11</v>
      </c>
      <c r="G72" s="6" t="s">
        <v>28</v>
      </c>
      <c r="H72" s="8" t="str">
        <f t="shared" si="1"/>
        <v>03_marzo</v>
      </c>
      <c r="I72" s="15" t="s">
        <v>40</v>
      </c>
      <c r="J72" s="10" t="str">
        <f t="shared" si="2"/>
        <v>6_sábado</v>
      </c>
    </row>
    <row r="73" ht="22.5" customHeight="1">
      <c r="A73" s="11">
        <v>45732.0</v>
      </c>
      <c r="B73" s="12" t="s">
        <v>8</v>
      </c>
      <c r="C73" s="12" t="s">
        <v>9</v>
      </c>
      <c r="D73" s="13">
        <v>14.0</v>
      </c>
      <c r="E73" s="12" t="s">
        <v>10</v>
      </c>
      <c r="F73" s="12" t="s">
        <v>11</v>
      </c>
      <c r="G73" s="12" t="s">
        <v>28</v>
      </c>
      <c r="H73" s="8" t="str">
        <f t="shared" si="1"/>
        <v>03_marzo</v>
      </c>
      <c r="I73" s="14" t="s">
        <v>13</v>
      </c>
      <c r="J73" s="10" t="str">
        <f t="shared" si="2"/>
        <v>7_domingo</v>
      </c>
    </row>
    <row r="74" ht="22.5" customHeight="1">
      <c r="A74" s="5">
        <v>45733.0</v>
      </c>
      <c r="B74" s="6" t="s">
        <v>8</v>
      </c>
      <c r="C74" s="6" t="s">
        <v>24</v>
      </c>
      <c r="D74" s="7">
        <v>16.0</v>
      </c>
      <c r="E74" s="6" t="s">
        <v>22</v>
      </c>
      <c r="F74" s="6" t="s">
        <v>11</v>
      </c>
      <c r="G74" s="6" t="s">
        <v>28</v>
      </c>
      <c r="H74" s="8" t="str">
        <f t="shared" si="1"/>
        <v>03_marzo</v>
      </c>
      <c r="I74" s="15" t="s">
        <v>39</v>
      </c>
      <c r="J74" s="10" t="str">
        <f t="shared" si="2"/>
        <v>1_lunes</v>
      </c>
    </row>
    <row r="75" ht="22.5" customHeight="1">
      <c r="A75" s="11">
        <v>45734.0</v>
      </c>
      <c r="B75" s="12" t="s">
        <v>23</v>
      </c>
      <c r="C75" s="12" t="s">
        <v>9</v>
      </c>
      <c r="D75" s="13">
        <v>19.0</v>
      </c>
      <c r="E75" s="12" t="s">
        <v>10</v>
      </c>
      <c r="F75" s="12" t="s">
        <v>15</v>
      </c>
      <c r="G75" s="12" t="s">
        <v>28</v>
      </c>
      <c r="H75" s="8" t="str">
        <f t="shared" si="1"/>
        <v>03_marzo</v>
      </c>
      <c r="I75" s="14" t="s">
        <v>16</v>
      </c>
      <c r="J75" s="10" t="str">
        <f t="shared" si="2"/>
        <v>2_martes</v>
      </c>
    </row>
    <row r="76" ht="22.5" customHeight="1">
      <c r="A76" s="5">
        <v>45735.0</v>
      </c>
      <c r="B76" s="6" t="s">
        <v>8</v>
      </c>
      <c r="C76" s="6" t="s">
        <v>9</v>
      </c>
      <c r="D76" s="7">
        <v>14.0</v>
      </c>
      <c r="E76" s="6" t="s">
        <v>10</v>
      </c>
      <c r="F76" s="6" t="s">
        <v>11</v>
      </c>
      <c r="G76" s="6" t="s">
        <v>28</v>
      </c>
      <c r="H76" s="8" t="str">
        <f t="shared" si="1"/>
        <v>03_marzo</v>
      </c>
      <c r="I76" s="15" t="s">
        <v>18</v>
      </c>
      <c r="J76" s="10" t="str">
        <f t="shared" si="2"/>
        <v>3_miércoles</v>
      </c>
    </row>
    <row r="77" ht="22.5" customHeight="1">
      <c r="A77" s="11">
        <v>45736.0</v>
      </c>
      <c r="B77" s="12" t="s">
        <v>23</v>
      </c>
      <c r="C77" s="12" t="s">
        <v>9</v>
      </c>
      <c r="D77" s="13">
        <v>18.0</v>
      </c>
      <c r="E77" s="12" t="s">
        <v>10</v>
      </c>
      <c r="F77" s="12" t="s">
        <v>15</v>
      </c>
      <c r="G77" s="12" t="s">
        <v>28</v>
      </c>
      <c r="H77" s="8" t="str">
        <f t="shared" si="1"/>
        <v>03_marzo</v>
      </c>
      <c r="I77" s="14" t="s">
        <v>33</v>
      </c>
      <c r="J77" s="10" t="str">
        <f t="shared" si="2"/>
        <v>4_jueves</v>
      </c>
    </row>
    <row r="78" ht="22.5" customHeight="1">
      <c r="A78" s="5">
        <v>45737.0</v>
      </c>
      <c r="B78" s="6" t="s">
        <v>17</v>
      </c>
      <c r="C78" s="6" t="s">
        <v>9</v>
      </c>
      <c r="D78" s="7">
        <v>8.0</v>
      </c>
      <c r="E78" s="6" t="s">
        <v>10</v>
      </c>
      <c r="F78" s="6" t="s">
        <v>11</v>
      </c>
      <c r="G78" s="6" t="s">
        <v>28</v>
      </c>
      <c r="H78" s="8" t="str">
        <f t="shared" si="1"/>
        <v>03_marzo</v>
      </c>
      <c r="I78" s="15" t="s">
        <v>20</v>
      </c>
      <c r="J78" s="10" t="str">
        <f t="shared" si="2"/>
        <v>5_viernes</v>
      </c>
    </row>
    <row r="79" ht="22.5" customHeight="1">
      <c r="A79" s="11">
        <v>45738.0</v>
      </c>
      <c r="B79" s="12" t="s">
        <v>17</v>
      </c>
      <c r="C79" s="12" t="s">
        <v>9</v>
      </c>
      <c r="D79" s="13">
        <v>9.0</v>
      </c>
      <c r="E79" s="12" t="s">
        <v>10</v>
      </c>
      <c r="F79" s="12" t="s">
        <v>11</v>
      </c>
      <c r="G79" s="12" t="s">
        <v>28</v>
      </c>
      <c r="H79" s="8" t="str">
        <f t="shared" si="1"/>
        <v>03_marzo</v>
      </c>
      <c r="I79" s="14" t="s">
        <v>40</v>
      </c>
      <c r="J79" s="10" t="str">
        <f t="shared" si="2"/>
        <v>6_sábado</v>
      </c>
    </row>
    <row r="80" ht="22.5" customHeight="1">
      <c r="A80" s="5">
        <v>45739.0</v>
      </c>
      <c r="B80" s="6" t="s">
        <v>14</v>
      </c>
      <c r="C80" s="6" t="s">
        <v>9</v>
      </c>
      <c r="D80" s="7">
        <v>21.0</v>
      </c>
      <c r="E80" s="6" t="s">
        <v>10</v>
      </c>
      <c r="F80" s="6" t="s">
        <v>15</v>
      </c>
      <c r="G80" s="6" t="s">
        <v>28</v>
      </c>
      <c r="H80" s="8" t="str">
        <f t="shared" si="1"/>
        <v>03_marzo</v>
      </c>
      <c r="I80" s="15" t="s">
        <v>13</v>
      </c>
      <c r="J80" s="10" t="str">
        <f t="shared" si="2"/>
        <v>7_domingo</v>
      </c>
    </row>
    <row r="81" ht="22.5" customHeight="1">
      <c r="A81" s="11">
        <v>45740.0</v>
      </c>
      <c r="B81" s="12" t="s">
        <v>14</v>
      </c>
      <c r="C81" s="12" t="s">
        <v>9</v>
      </c>
      <c r="D81" s="13">
        <v>21.0</v>
      </c>
      <c r="E81" s="12" t="s">
        <v>10</v>
      </c>
      <c r="F81" s="12" t="s">
        <v>11</v>
      </c>
      <c r="G81" s="12" t="s">
        <v>28</v>
      </c>
      <c r="H81" s="8" t="str">
        <f t="shared" si="1"/>
        <v>03_marzo</v>
      </c>
      <c r="I81" s="14" t="s">
        <v>39</v>
      </c>
      <c r="J81" s="10" t="str">
        <f t="shared" si="2"/>
        <v>1_lunes</v>
      </c>
    </row>
    <row r="82" ht="22.5" customHeight="1">
      <c r="A82" s="5">
        <v>45741.0</v>
      </c>
      <c r="B82" s="6" t="s">
        <v>8</v>
      </c>
      <c r="C82" s="6" t="s">
        <v>24</v>
      </c>
      <c r="D82" s="7">
        <v>14.0</v>
      </c>
      <c r="E82" s="6" t="s">
        <v>10</v>
      </c>
      <c r="F82" s="6" t="s">
        <v>11</v>
      </c>
      <c r="G82" s="6" t="s">
        <v>28</v>
      </c>
      <c r="H82" s="8" t="str">
        <f t="shared" si="1"/>
        <v>03_marzo</v>
      </c>
      <c r="I82" s="15" t="s">
        <v>16</v>
      </c>
      <c r="J82" s="10" t="str">
        <f t="shared" si="2"/>
        <v>2_martes</v>
      </c>
    </row>
    <row r="83" ht="22.5" customHeight="1">
      <c r="A83" s="11">
        <v>45742.0</v>
      </c>
      <c r="B83" s="12" t="s">
        <v>19</v>
      </c>
      <c r="C83" s="12" t="s">
        <v>9</v>
      </c>
      <c r="D83" s="13">
        <v>7.0</v>
      </c>
      <c r="E83" s="12" t="s">
        <v>10</v>
      </c>
      <c r="F83" s="12" t="s">
        <v>11</v>
      </c>
      <c r="G83" s="12" t="s">
        <v>28</v>
      </c>
      <c r="H83" s="8" t="str">
        <f t="shared" si="1"/>
        <v>03_marzo</v>
      </c>
      <c r="I83" s="14" t="s">
        <v>18</v>
      </c>
      <c r="J83" s="10" t="str">
        <f t="shared" si="2"/>
        <v>3_miércoles</v>
      </c>
    </row>
    <row r="84" ht="22.5" customHeight="1">
      <c r="A84" s="5">
        <v>45743.0</v>
      </c>
      <c r="B84" s="6" t="s">
        <v>8</v>
      </c>
      <c r="C84" s="6" t="s">
        <v>9</v>
      </c>
      <c r="D84" s="7">
        <v>14.0</v>
      </c>
      <c r="E84" s="6" t="s">
        <v>10</v>
      </c>
      <c r="F84" s="6" t="s">
        <v>15</v>
      </c>
      <c r="G84" s="6" t="s">
        <v>28</v>
      </c>
      <c r="H84" s="8" t="str">
        <f t="shared" si="1"/>
        <v>03_marzo</v>
      </c>
      <c r="I84" s="15" t="s">
        <v>33</v>
      </c>
      <c r="J84" s="10" t="str">
        <f t="shared" si="2"/>
        <v>4_jueves</v>
      </c>
    </row>
    <row r="85" ht="22.5" customHeight="1">
      <c r="A85" s="11">
        <v>45744.0</v>
      </c>
      <c r="B85" s="12" t="s">
        <v>8</v>
      </c>
      <c r="C85" s="12" t="s">
        <v>9</v>
      </c>
      <c r="D85" s="13">
        <v>15.0</v>
      </c>
      <c r="E85" s="12" t="s">
        <v>10</v>
      </c>
      <c r="F85" s="12" t="s">
        <v>15</v>
      </c>
      <c r="G85" s="12" t="s">
        <v>28</v>
      </c>
      <c r="H85" s="8" t="str">
        <f t="shared" si="1"/>
        <v>03_marzo</v>
      </c>
      <c r="I85" s="14" t="s">
        <v>20</v>
      </c>
      <c r="J85" s="10" t="str">
        <f t="shared" si="2"/>
        <v>5_viernes</v>
      </c>
    </row>
    <row r="86" ht="22.5" customHeight="1">
      <c r="A86" s="5">
        <v>45745.0</v>
      </c>
      <c r="B86" s="6" t="s">
        <v>19</v>
      </c>
      <c r="C86" s="6" t="s">
        <v>9</v>
      </c>
      <c r="D86" s="7">
        <v>7.0</v>
      </c>
      <c r="E86" s="6" t="s">
        <v>10</v>
      </c>
      <c r="F86" s="6" t="s">
        <v>11</v>
      </c>
      <c r="G86" s="6" t="s">
        <v>28</v>
      </c>
      <c r="H86" s="8" t="str">
        <f t="shared" si="1"/>
        <v>03_marzo</v>
      </c>
      <c r="I86" s="15" t="s">
        <v>40</v>
      </c>
      <c r="J86" s="10" t="str">
        <f t="shared" si="2"/>
        <v>6_sábado</v>
      </c>
    </row>
    <row r="87" ht="22.5" customHeight="1">
      <c r="A87" s="11">
        <v>45746.0</v>
      </c>
      <c r="B87" s="12" t="s">
        <v>26</v>
      </c>
      <c r="C87" s="12" t="s">
        <v>9</v>
      </c>
      <c r="D87" s="13">
        <v>24.0</v>
      </c>
      <c r="E87" s="12" t="s">
        <v>10</v>
      </c>
      <c r="F87" s="12" t="s">
        <v>11</v>
      </c>
      <c r="G87" s="12" t="s">
        <v>28</v>
      </c>
      <c r="H87" s="8" t="str">
        <f t="shared" si="1"/>
        <v>03_marzo</v>
      </c>
      <c r="I87" s="14" t="s">
        <v>13</v>
      </c>
      <c r="J87" s="10" t="str">
        <f t="shared" si="2"/>
        <v>7_domingo</v>
      </c>
    </row>
    <row r="88" ht="22.5" customHeight="1">
      <c r="A88" s="5">
        <v>45747.0</v>
      </c>
      <c r="B88" s="6" t="s">
        <v>8</v>
      </c>
      <c r="C88" s="6" t="s">
        <v>9</v>
      </c>
      <c r="D88" s="7">
        <v>14.0</v>
      </c>
      <c r="E88" s="6" t="s">
        <v>10</v>
      </c>
      <c r="F88" s="6" t="s">
        <v>11</v>
      </c>
      <c r="G88" s="6" t="s">
        <v>28</v>
      </c>
      <c r="H88" s="8" t="str">
        <f t="shared" si="1"/>
        <v>03_marzo</v>
      </c>
      <c r="I88" s="15" t="s">
        <v>39</v>
      </c>
      <c r="J88" s="10" t="str">
        <f t="shared" si="2"/>
        <v>1_lunes</v>
      </c>
    </row>
    <row r="89" ht="22.5" customHeight="1">
      <c r="A89" s="11">
        <v>45748.0</v>
      </c>
      <c r="B89" s="12" t="s">
        <v>8</v>
      </c>
      <c r="C89" s="12" t="s">
        <v>9</v>
      </c>
      <c r="D89" s="13">
        <v>14.0</v>
      </c>
      <c r="E89" s="12" t="s">
        <v>10</v>
      </c>
      <c r="F89" s="12" t="s">
        <v>11</v>
      </c>
      <c r="G89" s="12" t="s">
        <v>29</v>
      </c>
      <c r="H89" s="8" t="str">
        <f t="shared" si="1"/>
        <v>04_abril</v>
      </c>
      <c r="I89" s="14" t="s">
        <v>16</v>
      </c>
      <c r="J89" s="10" t="str">
        <f t="shared" si="2"/>
        <v>2_martes</v>
      </c>
    </row>
    <row r="90" ht="22.5" customHeight="1">
      <c r="A90" s="5">
        <v>45749.0</v>
      </c>
      <c r="B90" s="6" t="s">
        <v>17</v>
      </c>
      <c r="C90" s="6" t="s">
        <v>9</v>
      </c>
      <c r="D90" s="7">
        <v>10.0</v>
      </c>
      <c r="E90" s="6" t="s">
        <v>10</v>
      </c>
      <c r="F90" s="6" t="s">
        <v>11</v>
      </c>
      <c r="G90" s="6" t="s">
        <v>29</v>
      </c>
      <c r="H90" s="8" t="str">
        <f t="shared" si="1"/>
        <v>04_abril</v>
      </c>
      <c r="I90" s="15" t="s">
        <v>18</v>
      </c>
      <c r="J90" s="10" t="str">
        <f t="shared" si="2"/>
        <v>3_miércoles</v>
      </c>
    </row>
    <row r="91" ht="22.5" customHeight="1">
      <c r="A91" s="11">
        <v>45750.0</v>
      </c>
      <c r="B91" s="12" t="s">
        <v>17</v>
      </c>
      <c r="C91" s="12" t="s">
        <v>24</v>
      </c>
      <c r="D91" s="13">
        <v>10.0</v>
      </c>
      <c r="E91" s="12" t="s">
        <v>10</v>
      </c>
      <c r="F91" s="12" t="s">
        <v>15</v>
      </c>
      <c r="G91" s="12" t="s">
        <v>29</v>
      </c>
      <c r="H91" s="8" t="str">
        <f t="shared" si="1"/>
        <v>04_abril</v>
      </c>
      <c r="I91" s="14" t="s">
        <v>33</v>
      </c>
      <c r="J91" s="10" t="str">
        <f t="shared" si="2"/>
        <v>4_jueves</v>
      </c>
    </row>
    <row r="92" ht="22.5" customHeight="1">
      <c r="A92" s="5">
        <v>45751.0</v>
      </c>
      <c r="B92" s="6" t="s">
        <v>8</v>
      </c>
      <c r="C92" s="6" t="s">
        <v>21</v>
      </c>
      <c r="D92" s="7">
        <v>14.0</v>
      </c>
      <c r="E92" s="6" t="s">
        <v>10</v>
      </c>
      <c r="F92" s="6" t="s">
        <v>15</v>
      </c>
      <c r="G92" s="6" t="s">
        <v>29</v>
      </c>
      <c r="H92" s="8" t="str">
        <f t="shared" si="1"/>
        <v>04_abril</v>
      </c>
      <c r="I92" s="15" t="s">
        <v>20</v>
      </c>
      <c r="J92" s="10" t="str">
        <f t="shared" si="2"/>
        <v>5_viernes</v>
      </c>
    </row>
    <row r="93" ht="22.5" customHeight="1">
      <c r="A93" s="11">
        <v>45752.0</v>
      </c>
      <c r="B93" s="12" t="s">
        <v>14</v>
      </c>
      <c r="C93" s="12" t="s">
        <v>9</v>
      </c>
      <c r="D93" s="13">
        <v>22.0</v>
      </c>
      <c r="E93" s="12" t="s">
        <v>10</v>
      </c>
      <c r="F93" s="12" t="s">
        <v>11</v>
      </c>
      <c r="G93" s="12" t="s">
        <v>29</v>
      </c>
      <c r="H93" s="8" t="str">
        <f t="shared" si="1"/>
        <v>04_abril</v>
      </c>
      <c r="I93" s="14" t="s">
        <v>40</v>
      </c>
      <c r="J93" s="10" t="str">
        <f t="shared" si="2"/>
        <v>6_sábado</v>
      </c>
    </row>
    <row r="94" ht="22.5" customHeight="1">
      <c r="A94" s="5">
        <v>45753.0</v>
      </c>
      <c r="B94" s="6" t="s">
        <v>14</v>
      </c>
      <c r="C94" s="6" t="s">
        <v>9</v>
      </c>
      <c r="D94" s="7">
        <v>20.0</v>
      </c>
      <c r="E94" s="6" t="s">
        <v>10</v>
      </c>
      <c r="F94" s="6" t="s">
        <v>11</v>
      </c>
      <c r="G94" s="6" t="s">
        <v>29</v>
      </c>
      <c r="H94" s="8" t="str">
        <f t="shared" si="1"/>
        <v>04_abril</v>
      </c>
      <c r="I94" s="15" t="s">
        <v>13</v>
      </c>
      <c r="J94" s="10" t="str">
        <f t="shared" si="2"/>
        <v>7_domingo</v>
      </c>
    </row>
    <row r="95" ht="22.5" customHeight="1">
      <c r="A95" s="11">
        <v>45754.0</v>
      </c>
      <c r="B95" s="12" t="s">
        <v>8</v>
      </c>
      <c r="C95" s="12" t="s">
        <v>9</v>
      </c>
      <c r="D95" s="13">
        <v>14.0</v>
      </c>
      <c r="E95" s="12" t="s">
        <v>10</v>
      </c>
      <c r="F95" s="12" t="s">
        <v>11</v>
      </c>
      <c r="G95" s="12" t="s">
        <v>29</v>
      </c>
      <c r="H95" s="8" t="str">
        <f t="shared" si="1"/>
        <v>04_abril</v>
      </c>
      <c r="I95" s="14" t="s">
        <v>39</v>
      </c>
      <c r="J95" s="10" t="str">
        <f t="shared" si="2"/>
        <v>1_lunes</v>
      </c>
    </row>
    <row r="96" ht="22.5" customHeight="1">
      <c r="A96" s="5">
        <v>45755.0</v>
      </c>
      <c r="B96" s="6" t="s">
        <v>19</v>
      </c>
      <c r="C96" s="6" t="s">
        <v>9</v>
      </c>
      <c r="D96" s="7">
        <v>7.0</v>
      </c>
      <c r="E96" s="6" t="s">
        <v>10</v>
      </c>
      <c r="F96" s="6" t="s">
        <v>11</v>
      </c>
      <c r="G96" s="6" t="s">
        <v>29</v>
      </c>
      <c r="H96" s="8" t="str">
        <f t="shared" si="1"/>
        <v>04_abril</v>
      </c>
      <c r="I96" s="15" t="s">
        <v>16</v>
      </c>
      <c r="J96" s="10" t="str">
        <f t="shared" si="2"/>
        <v>2_martes</v>
      </c>
    </row>
    <row r="97" ht="22.5" customHeight="1">
      <c r="A97" s="11">
        <v>45756.0</v>
      </c>
      <c r="B97" s="12" t="s">
        <v>8</v>
      </c>
      <c r="C97" s="12" t="s">
        <v>9</v>
      </c>
      <c r="D97" s="13">
        <v>14.0</v>
      </c>
      <c r="E97" s="12" t="s">
        <v>10</v>
      </c>
      <c r="F97" s="12" t="s">
        <v>15</v>
      </c>
      <c r="G97" s="12" t="s">
        <v>29</v>
      </c>
      <c r="H97" s="8" t="str">
        <f t="shared" si="1"/>
        <v>04_abril</v>
      </c>
      <c r="I97" s="14" t="s">
        <v>18</v>
      </c>
      <c r="J97" s="10" t="str">
        <f t="shared" si="2"/>
        <v>3_miércoles</v>
      </c>
    </row>
    <row r="98" ht="22.5" customHeight="1">
      <c r="A98" s="5">
        <v>45757.0</v>
      </c>
      <c r="B98" s="6" t="s">
        <v>8</v>
      </c>
      <c r="C98" s="6" t="s">
        <v>21</v>
      </c>
      <c r="D98" s="7">
        <v>15.0</v>
      </c>
      <c r="E98" s="6" t="s">
        <v>10</v>
      </c>
      <c r="F98" s="6" t="s">
        <v>15</v>
      </c>
      <c r="G98" s="6" t="s">
        <v>29</v>
      </c>
      <c r="H98" s="8" t="str">
        <f t="shared" si="1"/>
        <v>04_abril</v>
      </c>
      <c r="I98" s="15" t="s">
        <v>33</v>
      </c>
      <c r="J98" s="10" t="str">
        <f t="shared" si="2"/>
        <v>4_jueves</v>
      </c>
    </row>
    <row r="99" ht="22.5" customHeight="1">
      <c r="A99" s="11">
        <v>45758.0</v>
      </c>
      <c r="B99" s="12" t="s">
        <v>17</v>
      </c>
      <c r="C99" s="12" t="s">
        <v>24</v>
      </c>
      <c r="D99" s="13">
        <v>11.0</v>
      </c>
      <c r="E99" s="12" t="s">
        <v>10</v>
      </c>
      <c r="F99" s="12" t="s">
        <v>11</v>
      </c>
      <c r="G99" s="12" t="s">
        <v>29</v>
      </c>
      <c r="H99" s="8" t="str">
        <f t="shared" si="1"/>
        <v>04_abril</v>
      </c>
      <c r="I99" s="14" t="s">
        <v>20</v>
      </c>
      <c r="J99" s="10" t="str">
        <f t="shared" si="2"/>
        <v>5_viernes</v>
      </c>
    </row>
    <row r="100" ht="22.5" customHeight="1">
      <c r="A100" s="5">
        <v>45759.0</v>
      </c>
      <c r="B100" s="6" t="s">
        <v>19</v>
      </c>
      <c r="C100" s="6" t="s">
        <v>9</v>
      </c>
      <c r="D100" s="7">
        <v>7.0</v>
      </c>
      <c r="E100" s="6" t="s">
        <v>10</v>
      </c>
      <c r="F100" s="6" t="s">
        <v>11</v>
      </c>
      <c r="G100" s="6" t="s">
        <v>29</v>
      </c>
      <c r="H100" s="8" t="str">
        <f t="shared" si="1"/>
        <v>04_abril</v>
      </c>
      <c r="I100" s="15" t="s">
        <v>40</v>
      </c>
      <c r="J100" s="10" t="str">
        <f t="shared" si="2"/>
        <v>6_sábado</v>
      </c>
    </row>
    <row r="101" ht="22.5" customHeight="1">
      <c r="A101" s="11">
        <v>45760.0</v>
      </c>
      <c r="B101" s="12" t="s">
        <v>8</v>
      </c>
      <c r="C101" s="12" t="s">
        <v>9</v>
      </c>
      <c r="D101" s="13">
        <v>16.0</v>
      </c>
      <c r="E101" s="12" t="s">
        <v>22</v>
      </c>
      <c r="F101" s="12" t="s">
        <v>11</v>
      </c>
      <c r="G101" s="12" t="s">
        <v>29</v>
      </c>
      <c r="H101" s="8" t="str">
        <f t="shared" si="1"/>
        <v>04_abril</v>
      </c>
      <c r="I101" s="14" t="s">
        <v>13</v>
      </c>
      <c r="J101" s="10" t="str">
        <f t="shared" si="2"/>
        <v>7_domingo</v>
      </c>
    </row>
    <row r="102" ht="22.5" customHeight="1">
      <c r="A102" s="5">
        <v>45761.0</v>
      </c>
      <c r="B102" s="6" t="s">
        <v>17</v>
      </c>
      <c r="C102" s="6" t="s">
        <v>9</v>
      </c>
      <c r="D102" s="7">
        <v>12.0</v>
      </c>
      <c r="E102" s="6" t="s">
        <v>10</v>
      </c>
      <c r="F102" s="6" t="s">
        <v>11</v>
      </c>
      <c r="G102" s="6" t="s">
        <v>29</v>
      </c>
      <c r="H102" s="8" t="str">
        <f t="shared" si="1"/>
        <v>04_abril</v>
      </c>
      <c r="I102" s="15" t="s">
        <v>39</v>
      </c>
      <c r="J102" s="10" t="str">
        <f t="shared" si="2"/>
        <v>1_lunes</v>
      </c>
    </row>
    <row r="103" ht="22.5" customHeight="1">
      <c r="A103" s="11">
        <v>45762.0</v>
      </c>
      <c r="B103" s="12" t="s">
        <v>23</v>
      </c>
      <c r="C103" s="12" t="s">
        <v>9</v>
      </c>
      <c r="D103" s="13">
        <v>21.0</v>
      </c>
      <c r="E103" s="12" t="s">
        <v>10</v>
      </c>
      <c r="F103" s="12" t="s">
        <v>15</v>
      </c>
      <c r="G103" s="12" t="s">
        <v>29</v>
      </c>
      <c r="H103" s="8" t="str">
        <f t="shared" si="1"/>
        <v>04_abril</v>
      </c>
      <c r="I103" s="14" t="s">
        <v>16</v>
      </c>
      <c r="J103" s="10" t="str">
        <f t="shared" si="2"/>
        <v>2_martes</v>
      </c>
    </row>
    <row r="104" ht="22.5" customHeight="1">
      <c r="A104" s="5">
        <v>45763.0</v>
      </c>
      <c r="B104" s="6" t="s">
        <v>8</v>
      </c>
      <c r="C104" s="6" t="s">
        <v>9</v>
      </c>
      <c r="D104" s="7">
        <v>14.0</v>
      </c>
      <c r="E104" s="6" t="s">
        <v>10</v>
      </c>
      <c r="F104" s="6" t="s">
        <v>11</v>
      </c>
      <c r="G104" s="6" t="s">
        <v>29</v>
      </c>
      <c r="H104" s="8" t="str">
        <f t="shared" si="1"/>
        <v>04_abril</v>
      </c>
      <c r="I104" s="15" t="s">
        <v>18</v>
      </c>
      <c r="J104" s="10" t="str">
        <f t="shared" si="2"/>
        <v>3_miércoles</v>
      </c>
    </row>
    <row r="105" ht="22.5" customHeight="1">
      <c r="A105" s="11">
        <v>45764.0</v>
      </c>
      <c r="B105" s="12" t="s">
        <v>23</v>
      </c>
      <c r="C105" s="12" t="s">
        <v>9</v>
      </c>
      <c r="D105" s="13">
        <v>20.0</v>
      </c>
      <c r="E105" s="12" t="s">
        <v>10</v>
      </c>
      <c r="F105" s="12" t="s">
        <v>15</v>
      </c>
      <c r="G105" s="12" t="s">
        <v>29</v>
      </c>
      <c r="H105" s="8" t="str">
        <f t="shared" si="1"/>
        <v>04_abril</v>
      </c>
      <c r="I105" s="14" t="s">
        <v>33</v>
      </c>
      <c r="J105" s="10" t="str">
        <f t="shared" si="2"/>
        <v>4_jueves</v>
      </c>
    </row>
    <row r="106" ht="22.5" customHeight="1">
      <c r="A106" s="5">
        <v>45765.0</v>
      </c>
      <c r="B106" s="6" t="s">
        <v>17</v>
      </c>
      <c r="C106" s="6" t="s">
        <v>9</v>
      </c>
      <c r="D106" s="7">
        <v>9.0</v>
      </c>
      <c r="E106" s="6" t="s">
        <v>10</v>
      </c>
      <c r="F106" s="6" t="s">
        <v>11</v>
      </c>
      <c r="G106" s="6" t="s">
        <v>29</v>
      </c>
      <c r="H106" s="8" t="str">
        <f t="shared" si="1"/>
        <v>04_abril</v>
      </c>
      <c r="I106" s="15" t="s">
        <v>20</v>
      </c>
      <c r="J106" s="10" t="str">
        <f t="shared" si="2"/>
        <v>5_viernes</v>
      </c>
    </row>
    <row r="107" ht="22.5" customHeight="1">
      <c r="A107" s="11">
        <v>45766.0</v>
      </c>
      <c r="B107" s="12" t="s">
        <v>8</v>
      </c>
      <c r="C107" s="12" t="s">
        <v>9</v>
      </c>
      <c r="D107" s="13">
        <v>14.0</v>
      </c>
      <c r="E107" s="12" t="s">
        <v>10</v>
      </c>
      <c r="F107" s="12" t="s">
        <v>11</v>
      </c>
      <c r="G107" s="12" t="s">
        <v>29</v>
      </c>
      <c r="H107" s="8" t="str">
        <f t="shared" si="1"/>
        <v>04_abril</v>
      </c>
      <c r="I107" s="14" t="s">
        <v>40</v>
      </c>
      <c r="J107" s="10" t="str">
        <f t="shared" si="2"/>
        <v>6_sábado</v>
      </c>
    </row>
    <row r="108" ht="22.5" customHeight="1">
      <c r="A108" s="5">
        <v>45767.0</v>
      </c>
      <c r="B108" s="6" t="s">
        <v>14</v>
      </c>
      <c r="C108" s="6" t="s">
        <v>9</v>
      </c>
      <c r="D108" s="7">
        <v>23.0</v>
      </c>
      <c r="E108" s="6" t="s">
        <v>10</v>
      </c>
      <c r="F108" s="6" t="s">
        <v>15</v>
      </c>
      <c r="G108" s="6" t="s">
        <v>29</v>
      </c>
      <c r="H108" s="8" t="str">
        <f t="shared" si="1"/>
        <v>04_abril</v>
      </c>
      <c r="I108" s="15" t="s">
        <v>13</v>
      </c>
      <c r="J108" s="10" t="str">
        <f t="shared" si="2"/>
        <v>7_domingo</v>
      </c>
    </row>
    <row r="109" ht="22.5" customHeight="1">
      <c r="A109" s="11">
        <v>45768.0</v>
      </c>
      <c r="B109" s="12" t="s">
        <v>14</v>
      </c>
      <c r="C109" s="12" t="s">
        <v>24</v>
      </c>
      <c r="D109" s="13">
        <v>24.0</v>
      </c>
      <c r="E109" s="12" t="s">
        <v>10</v>
      </c>
      <c r="F109" s="12" t="s">
        <v>11</v>
      </c>
      <c r="G109" s="12" t="s">
        <v>29</v>
      </c>
      <c r="H109" s="8" t="str">
        <f t="shared" si="1"/>
        <v>04_abril</v>
      </c>
      <c r="I109" s="14" t="s">
        <v>39</v>
      </c>
      <c r="J109" s="10" t="str">
        <f t="shared" si="2"/>
        <v>1_lunes</v>
      </c>
    </row>
    <row r="110" ht="22.5" customHeight="1">
      <c r="A110" s="5">
        <v>45769.0</v>
      </c>
      <c r="B110" s="6" t="s">
        <v>8</v>
      </c>
      <c r="C110" s="6" t="s">
        <v>9</v>
      </c>
      <c r="D110" s="7">
        <v>14.0</v>
      </c>
      <c r="E110" s="6" t="s">
        <v>10</v>
      </c>
      <c r="F110" s="6" t="s">
        <v>11</v>
      </c>
      <c r="G110" s="6" t="s">
        <v>29</v>
      </c>
      <c r="H110" s="8" t="str">
        <f t="shared" si="1"/>
        <v>04_abril</v>
      </c>
      <c r="I110" s="15" t="s">
        <v>16</v>
      </c>
      <c r="J110" s="10" t="str">
        <f t="shared" si="2"/>
        <v>2_martes</v>
      </c>
    </row>
    <row r="111" ht="22.5" customHeight="1">
      <c r="A111" s="11">
        <v>45770.0</v>
      </c>
      <c r="B111" s="12" t="s">
        <v>19</v>
      </c>
      <c r="C111" s="12" t="s">
        <v>9</v>
      </c>
      <c r="D111" s="13">
        <v>7.0</v>
      </c>
      <c r="E111" s="12" t="s">
        <v>10</v>
      </c>
      <c r="F111" s="12" t="s">
        <v>11</v>
      </c>
      <c r="G111" s="12" t="s">
        <v>29</v>
      </c>
      <c r="H111" s="8" t="str">
        <f t="shared" si="1"/>
        <v>04_abril</v>
      </c>
      <c r="I111" s="14" t="s">
        <v>18</v>
      </c>
      <c r="J111" s="10" t="str">
        <f t="shared" si="2"/>
        <v>3_miércoles</v>
      </c>
    </row>
    <row r="112" ht="22.5" customHeight="1">
      <c r="A112" s="5">
        <v>45771.0</v>
      </c>
      <c r="B112" s="6" t="s">
        <v>8</v>
      </c>
      <c r="C112" s="6" t="s">
        <v>9</v>
      </c>
      <c r="D112" s="7">
        <v>14.0</v>
      </c>
      <c r="E112" s="6" t="s">
        <v>10</v>
      </c>
      <c r="F112" s="6" t="s">
        <v>15</v>
      </c>
      <c r="G112" s="6" t="s">
        <v>29</v>
      </c>
      <c r="H112" s="8" t="str">
        <f t="shared" si="1"/>
        <v>04_abril</v>
      </c>
      <c r="I112" s="15" t="s">
        <v>33</v>
      </c>
      <c r="J112" s="10" t="str">
        <f t="shared" si="2"/>
        <v>4_jueves</v>
      </c>
    </row>
    <row r="113" ht="22.5" customHeight="1">
      <c r="A113" s="11">
        <v>45772.0</v>
      </c>
      <c r="B113" s="12" t="s">
        <v>26</v>
      </c>
      <c r="C113" s="12" t="s">
        <v>21</v>
      </c>
      <c r="D113" s="13">
        <v>26.0</v>
      </c>
      <c r="E113" s="12" t="s">
        <v>10</v>
      </c>
      <c r="F113" s="12" t="s">
        <v>15</v>
      </c>
      <c r="G113" s="12" t="s">
        <v>29</v>
      </c>
      <c r="H113" s="8" t="str">
        <f t="shared" si="1"/>
        <v>04_abril</v>
      </c>
      <c r="I113" s="14" t="s">
        <v>20</v>
      </c>
      <c r="J113" s="10" t="str">
        <f t="shared" si="2"/>
        <v>5_viernes</v>
      </c>
    </row>
    <row r="114" ht="22.5" customHeight="1">
      <c r="A114" s="5">
        <v>45773.0</v>
      </c>
      <c r="B114" s="6" t="s">
        <v>19</v>
      </c>
      <c r="C114" s="6" t="s">
        <v>9</v>
      </c>
      <c r="D114" s="7">
        <v>7.0</v>
      </c>
      <c r="E114" s="6" t="s">
        <v>10</v>
      </c>
      <c r="F114" s="6" t="s">
        <v>11</v>
      </c>
      <c r="G114" s="6" t="s">
        <v>29</v>
      </c>
      <c r="H114" s="8" t="str">
        <f t="shared" si="1"/>
        <v>04_abril</v>
      </c>
      <c r="I114" s="15" t="s">
        <v>40</v>
      </c>
      <c r="J114" s="10" t="str">
        <f t="shared" si="2"/>
        <v>6_sábado</v>
      </c>
    </row>
    <row r="115" ht="22.5" customHeight="1">
      <c r="A115" s="11">
        <v>45774.0</v>
      </c>
      <c r="B115" s="12" t="s">
        <v>8</v>
      </c>
      <c r="C115" s="12" t="s">
        <v>9</v>
      </c>
      <c r="D115" s="13">
        <v>14.0</v>
      </c>
      <c r="E115" s="12" t="s">
        <v>10</v>
      </c>
      <c r="F115" s="12" t="s">
        <v>11</v>
      </c>
      <c r="G115" s="12" t="s">
        <v>29</v>
      </c>
      <c r="H115" s="8" t="str">
        <f t="shared" si="1"/>
        <v>04_abril</v>
      </c>
      <c r="I115" s="14" t="s">
        <v>13</v>
      </c>
      <c r="J115" s="10" t="str">
        <f t="shared" si="2"/>
        <v>7_domingo</v>
      </c>
    </row>
    <row r="116" ht="22.5" customHeight="1">
      <c r="A116" s="5">
        <v>45775.0</v>
      </c>
      <c r="B116" s="6" t="s">
        <v>17</v>
      </c>
      <c r="C116" s="6" t="s">
        <v>9</v>
      </c>
      <c r="D116" s="7">
        <v>11.0</v>
      </c>
      <c r="E116" s="6" t="s">
        <v>10</v>
      </c>
      <c r="F116" s="6" t="s">
        <v>11</v>
      </c>
      <c r="G116" s="6" t="s">
        <v>29</v>
      </c>
      <c r="H116" s="8" t="str">
        <f t="shared" si="1"/>
        <v>04_abril</v>
      </c>
      <c r="I116" s="15" t="s">
        <v>39</v>
      </c>
      <c r="J116" s="10" t="str">
        <f t="shared" si="2"/>
        <v>1_lunes</v>
      </c>
    </row>
    <row r="117" ht="22.5" customHeight="1">
      <c r="A117" s="11">
        <v>45776.0</v>
      </c>
      <c r="B117" s="12" t="s">
        <v>17</v>
      </c>
      <c r="C117" s="12" t="s">
        <v>9</v>
      </c>
      <c r="D117" s="13">
        <v>10.0</v>
      </c>
      <c r="E117" s="12" t="s">
        <v>10</v>
      </c>
      <c r="F117" s="12" t="s">
        <v>11</v>
      </c>
      <c r="G117" s="12" t="s">
        <v>29</v>
      </c>
      <c r="H117" s="8" t="str">
        <f t="shared" si="1"/>
        <v>04_abril</v>
      </c>
      <c r="I117" s="14" t="s">
        <v>16</v>
      </c>
      <c r="J117" s="10" t="str">
        <f t="shared" si="2"/>
        <v>2_martes</v>
      </c>
    </row>
    <row r="118" ht="22.5" customHeight="1">
      <c r="A118" s="5">
        <v>45777.0</v>
      </c>
      <c r="B118" s="6" t="s">
        <v>8</v>
      </c>
      <c r="C118" s="6" t="s">
        <v>24</v>
      </c>
      <c r="D118" s="7">
        <v>14.0</v>
      </c>
      <c r="E118" s="6" t="s">
        <v>10</v>
      </c>
      <c r="F118" s="6" t="s">
        <v>15</v>
      </c>
      <c r="G118" s="6" t="s">
        <v>29</v>
      </c>
      <c r="H118" s="8" t="str">
        <f t="shared" si="1"/>
        <v>04_abril</v>
      </c>
      <c r="I118" s="15" t="s">
        <v>18</v>
      </c>
      <c r="J118" s="10" t="str">
        <f t="shared" si="2"/>
        <v>3_miércoles</v>
      </c>
    </row>
    <row r="119" ht="22.5" customHeight="1">
      <c r="A119" s="11">
        <v>45778.0</v>
      </c>
      <c r="B119" s="12" t="s">
        <v>26</v>
      </c>
      <c r="C119" s="12" t="s">
        <v>9</v>
      </c>
      <c r="D119" s="13">
        <v>26.0</v>
      </c>
      <c r="E119" s="12" t="s">
        <v>22</v>
      </c>
      <c r="F119" s="12" t="s">
        <v>15</v>
      </c>
      <c r="G119" s="12" t="s">
        <v>30</v>
      </c>
      <c r="H119" s="8" t="str">
        <f t="shared" si="1"/>
        <v>05_mayo</v>
      </c>
      <c r="I119" s="14" t="s">
        <v>33</v>
      </c>
      <c r="J119" s="10" t="str">
        <f t="shared" si="2"/>
        <v>4_jueves</v>
      </c>
    </row>
    <row r="120" ht="22.5" customHeight="1">
      <c r="A120" s="5">
        <v>45779.0</v>
      </c>
      <c r="B120" s="6" t="s">
        <v>14</v>
      </c>
      <c r="C120" s="6" t="s">
        <v>9</v>
      </c>
      <c r="D120" s="7">
        <v>21.0</v>
      </c>
      <c r="E120" s="6" t="s">
        <v>10</v>
      </c>
      <c r="F120" s="6" t="s">
        <v>11</v>
      </c>
      <c r="G120" s="6" t="s">
        <v>30</v>
      </c>
      <c r="H120" s="8" t="str">
        <f t="shared" si="1"/>
        <v>05_mayo</v>
      </c>
      <c r="I120" s="15" t="s">
        <v>20</v>
      </c>
      <c r="J120" s="10" t="str">
        <f t="shared" si="2"/>
        <v>5_viernes</v>
      </c>
    </row>
    <row r="121" ht="22.5" customHeight="1">
      <c r="A121" s="11">
        <v>45780.0</v>
      </c>
      <c r="B121" s="12" t="s">
        <v>8</v>
      </c>
      <c r="C121" s="12" t="s">
        <v>9</v>
      </c>
      <c r="D121" s="13">
        <v>14.0</v>
      </c>
      <c r="E121" s="12" t="s">
        <v>10</v>
      </c>
      <c r="F121" s="12" t="s">
        <v>11</v>
      </c>
      <c r="G121" s="12" t="s">
        <v>30</v>
      </c>
      <c r="H121" s="8" t="str">
        <f t="shared" si="1"/>
        <v>05_mayo</v>
      </c>
      <c r="I121" s="14" t="s">
        <v>40</v>
      </c>
      <c r="J121" s="10" t="str">
        <f t="shared" si="2"/>
        <v>6_sábado</v>
      </c>
    </row>
    <row r="122" ht="22.5" customHeight="1">
      <c r="A122" s="5">
        <v>45781.0</v>
      </c>
      <c r="B122" s="6" t="s">
        <v>8</v>
      </c>
      <c r="C122" s="6" t="s">
        <v>9</v>
      </c>
      <c r="D122" s="7">
        <v>14.0</v>
      </c>
      <c r="E122" s="6" t="s">
        <v>10</v>
      </c>
      <c r="F122" s="6" t="s">
        <v>11</v>
      </c>
      <c r="G122" s="6" t="s">
        <v>30</v>
      </c>
      <c r="H122" s="8" t="str">
        <f t="shared" si="1"/>
        <v>05_mayo</v>
      </c>
      <c r="I122" s="15" t="s">
        <v>13</v>
      </c>
      <c r="J122" s="10" t="str">
        <f t="shared" si="2"/>
        <v>7_domingo</v>
      </c>
    </row>
    <row r="123" ht="22.5" customHeight="1">
      <c r="A123" s="11">
        <v>45782.0</v>
      </c>
      <c r="B123" s="12" t="s">
        <v>14</v>
      </c>
      <c r="C123" s="12" t="s">
        <v>9</v>
      </c>
      <c r="D123" s="13">
        <v>21.0</v>
      </c>
      <c r="E123" s="12" t="s">
        <v>10</v>
      </c>
      <c r="F123" s="12" t="s">
        <v>11</v>
      </c>
      <c r="G123" s="12" t="s">
        <v>30</v>
      </c>
      <c r="H123" s="8" t="str">
        <f t="shared" si="1"/>
        <v>05_mayo</v>
      </c>
      <c r="I123" s="14" t="s">
        <v>39</v>
      </c>
      <c r="J123" s="10" t="str">
        <f t="shared" si="2"/>
        <v>1_lunes</v>
      </c>
    </row>
    <row r="124" ht="22.5" customHeight="1">
      <c r="A124" s="5">
        <v>45783.0</v>
      </c>
      <c r="B124" s="6" t="s">
        <v>19</v>
      </c>
      <c r="C124" s="6" t="s">
        <v>9</v>
      </c>
      <c r="D124" s="7">
        <v>7.0</v>
      </c>
      <c r="E124" s="6" t="s">
        <v>10</v>
      </c>
      <c r="F124" s="6" t="s">
        <v>15</v>
      </c>
      <c r="G124" s="6" t="s">
        <v>30</v>
      </c>
      <c r="H124" s="8" t="str">
        <f t="shared" si="1"/>
        <v>05_mayo</v>
      </c>
      <c r="I124" s="15" t="s">
        <v>16</v>
      </c>
      <c r="J124" s="10" t="str">
        <f t="shared" si="2"/>
        <v>2_martes</v>
      </c>
    </row>
    <row r="125" ht="22.5" customHeight="1">
      <c r="A125" s="11">
        <v>45784.0</v>
      </c>
      <c r="B125" s="12" t="s">
        <v>17</v>
      </c>
      <c r="C125" s="12" t="s">
        <v>9</v>
      </c>
      <c r="D125" s="13">
        <v>12.0</v>
      </c>
      <c r="E125" s="12" t="s">
        <v>10</v>
      </c>
      <c r="F125" s="12" t="s">
        <v>11</v>
      </c>
      <c r="G125" s="12" t="s">
        <v>30</v>
      </c>
      <c r="H125" s="8" t="str">
        <f t="shared" si="1"/>
        <v>05_mayo</v>
      </c>
      <c r="I125" s="14" t="s">
        <v>18</v>
      </c>
      <c r="J125" s="10" t="str">
        <f t="shared" si="2"/>
        <v>3_miércoles</v>
      </c>
    </row>
    <row r="126" ht="22.5" customHeight="1">
      <c r="A126" s="5">
        <v>45785.0</v>
      </c>
      <c r="B126" s="6" t="s">
        <v>17</v>
      </c>
      <c r="C126" s="6" t="s">
        <v>24</v>
      </c>
      <c r="D126" s="7">
        <v>10.0</v>
      </c>
      <c r="E126" s="6" t="s">
        <v>10</v>
      </c>
      <c r="F126" s="6" t="s">
        <v>15</v>
      </c>
      <c r="G126" s="6" t="s">
        <v>30</v>
      </c>
      <c r="H126" s="8" t="str">
        <f t="shared" si="1"/>
        <v>05_mayo</v>
      </c>
      <c r="I126" s="15" t="s">
        <v>33</v>
      </c>
      <c r="J126" s="10" t="str">
        <f t="shared" si="2"/>
        <v>4_jueves</v>
      </c>
    </row>
    <row r="127" ht="22.5" customHeight="1">
      <c r="A127" s="11">
        <v>45786.0</v>
      </c>
      <c r="B127" s="12" t="s">
        <v>8</v>
      </c>
      <c r="C127" s="12" t="s">
        <v>21</v>
      </c>
      <c r="D127" s="13">
        <v>15.0</v>
      </c>
      <c r="E127" s="12" t="s">
        <v>10</v>
      </c>
      <c r="F127" s="12" t="s">
        <v>11</v>
      </c>
      <c r="G127" s="12" t="s">
        <v>30</v>
      </c>
      <c r="H127" s="8" t="str">
        <f t="shared" si="1"/>
        <v>05_mayo</v>
      </c>
      <c r="I127" s="14" t="s">
        <v>20</v>
      </c>
      <c r="J127" s="10" t="str">
        <f t="shared" si="2"/>
        <v>5_viernes</v>
      </c>
    </row>
    <row r="128" ht="22.5" customHeight="1">
      <c r="A128" s="5">
        <v>45787.0</v>
      </c>
      <c r="B128" s="6" t="s">
        <v>8</v>
      </c>
      <c r="C128" s="6" t="s">
        <v>21</v>
      </c>
      <c r="D128" s="7">
        <v>14.0</v>
      </c>
      <c r="E128" s="6" t="s">
        <v>10</v>
      </c>
      <c r="F128" s="6" t="s">
        <v>11</v>
      </c>
      <c r="G128" s="6" t="s">
        <v>30</v>
      </c>
      <c r="H128" s="8" t="str">
        <f t="shared" si="1"/>
        <v>05_mayo</v>
      </c>
      <c r="I128" s="15" t="s">
        <v>40</v>
      </c>
      <c r="J128" s="10" t="str">
        <f t="shared" si="2"/>
        <v>6_sábado</v>
      </c>
    </row>
    <row r="129" ht="22.5" customHeight="1">
      <c r="A129" s="11">
        <v>45788.0</v>
      </c>
      <c r="B129" s="12" t="s">
        <v>25</v>
      </c>
      <c r="C129" s="12" t="s">
        <v>9</v>
      </c>
      <c r="D129" s="13">
        <v>28.0</v>
      </c>
      <c r="E129" s="12" t="s">
        <v>10</v>
      </c>
      <c r="F129" s="12" t="s">
        <v>15</v>
      </c>
      <c r="G129" s="12" t="s">
        <v>30</v>
      </c>
      <c r="H129" s="8" t="str">
        <f t="shared" si="1"/>
        <v>05_mayo</v>
      </c>
      <c r="I129" s="14" t="s">
        <v>13</v>
      </c>
      <c r="J129" s="10" t="str">
        <f t="shared" si="2"/>
        <v>7_domingo</v>
      </c>
    </row>
    <row r="130" ht="22.5" customHeight="1">
      <c r="A130" s="5">
        <v>45789.0</v>
      </c>
      <c r="B130" s="6" t="s">
        <v>19</v>
      </c>
      <c r="C130" s="6" t="s">
        <v>9</v>
      </c>
      <c r="D130" s="7">
        <v>7.0</v>
      </c>
      <c r="E130" s="6" t="s">
        <v>10</v>
      </c>
      <c r="F130" s="6" t="s">
        <v>11</v>
      </c>
      <c r="G130" s="6" t="s">
        <v>30</v>
      </c>
      <c r="H130" s="8" t="str">
        <f t="shared" si="1"/>
        <v>05_mayo</v>
      </c>
      <c r="I130" s="15" t="s">
        <v>39</v>
      </c>
      <c r="J130" s="10" t="str">
        <f t="shared" si="2"/>
        <v>1_lunes</v>
      </c>
    </row>
    <row r="131" ht="22.5" customHeight="1">
      <c r="A131" s="11">
        <v>45790.0</v>
      </c>
      <c r="B131" s="12" t="s">
        <v>8</v>
      </c>
      <c r="C131" s="12" t="s">
        <v>9</v>
      </c>
      <c r="D131" s="13">
        <v>14.0</v>
      </c>
      <c r="E131" s="12" t="s">
        <v>10</v>
      </c>
      <c r="F131" s="12" t="s">
        <v>11</v>
      </c>
      <c r="G131" s="12" t="s">
        <v>30</v>
      </c>
      <c r="H131" s="8" t="str">
        <f t="shared" si="1"/>
        <v>05_mayo</v>
      </c>
      <c r="I131" s="14" t="s">
        <v>16</v>
      </c>
      <c r="J131" s="10" t="str">
        <f t="shared" si="2"/>
        <v>2_martes</v>
      </c>
    </row>
    <row r="132" ht="22.5" customHeight="1">
      <c r="A132" s="5">
        <v>45791.0</v>
      </c>
      <c r="B132" s="6" t="s">
        <v>23</v>
      </c>
      <c r="C132" s="6" t="s">
        <v>9</v>
      </c>
      <c r="D132" s="7">
        <v>18.0</v>
      </c>
      <c r="E132" s="6" t="s">
        <v>10</v>
      </c>
      <c r="F132" s="6" t="s">
        <v>11</v>
      </c>
      <c r="G132" s="6" t="s">
        <v>30</v>
      </c>
      <c r="H132" s="8" t="str">
        <f t="shared" si="1"/>
        <v>05_mayo</v>
      </c>
      <c r="I132" s="15" t="s">
        <v>18</v>
      </c>
      <c r="J132" s="10" t="str">
        <f t="shared" si="2"/>
        <v>3_miércoles</v>
      </c>
    </row>
    <row r="133" ht="22.5" customHeight="1">
      <c r="A133" s="11">
        <v>45792.0</v>
      </c>
      <c r="B133" s="12" t="s">
        <v>8</v>
      </c>
      <c r="C133" s="12" t="s">
        <v>9</v>
      </c>
      <c r="D133" s="13">
        <v>14.0</v>
      </c>
      <c r="E133" s="12" t="s">
        <v>10</v>
      </c>
      <c r="F133" s="12" t="s">
        <v>15</v>
      </c>
      <c r="G133" s="12" t="s">
        <v>30</v>
      </c>
      <c r="H133" s="8" t="str">
        <f t="shared" si="1"/>
        <v>05_mayo</v>
      </c>
      <c r="I133" s="14" t="s">
        <v>33</v>
      </c>
      <c r="J133" s="10" t="str">
        <f t="shared" si="2"/>
        <v>4_jueves</v>
      </c>
    </row>
    <row r="134" ht="22.5" customHeight="1">
      <c r="A134" s="5">
        <v>45793.0</v>
      </c>
      <c r="B134" s="6" t="s">
        <v>17</v>
      </c>
      <c r="C134" s="6" t="s">
        <v>24</v>
      </c>
      <c r="D134" s="7">
        <v>9.0</v>
      </c>
      <c r="E134" s="6" t="s">
        <v>10</v>
      </c>
      <c r="F134" s="6" t="s">
        <v>15</v>
      </c>
      <c r="G134" s="6" t="s">
        <v>30</v>
      </c>
      <c r="H134" s="8" t="str">
        <f t="shared" si="1"/>
        <v>05_mayo</v>
      </c>
      <c r="I134" s="15" t="s">
        <v>20</v>
      </c>
      <c r="J134" s="10" t="str">
        <f t="shared" si="2"/>
        <v>5_viernes</v>
      </c>
    </row>
    <row r="135" ht="22.5" customHeight="1">
      <c r="A135" s="11">
        <v>45794.0</v>
      </c>
      <c r="B135" s="12" t="s">
        <v>23</v>
      </c>
      <c r="C135" s="12" t="s">
        <v>9</v>
      </c>
      <c r="D135" s="13">
        <v>19.0</v>
      </c>
      <c r="E135" s="12" t="s">
        <v>10</v>
      </c>
      <c r="F135" s="12" t="s">
        <v>11</v>
      </c>
      <c r="G135" s="12" t="s">
        <v>30</v>
      </c>
      <c r="H135" s="8" t="str">
        <f t="shared" si="1"/>
        <v>05_mayo</v>
      </c>
      <c r="I135" s="14" t="s">
        <v>40</v>
      </c>
      <c r="J135" s="10" t="str">
        <f t="shared" si="2"/>
        <v>6_sábado</v>
      </c>
    </row>
    <row r="136" ht="22.5" customHeight="1">
      <c r="A136" s="5">
        <v>45795.0</v>
      </c>
      <c r="B136" s="6" t="s">
        <v>8</v>
      </c>
      <c r="C136" s="6" t="s">
        <v>9</v>
      </c>
      <c r="D136" s="7">
        <v>14.0</v>
      </c>
      <c r="E136" s="6" t="s">
        <v>10</v>
      </c>
      <c r="F136" s="6" t="s">
        <v>11</v>
      </c>
      <c r="G136" s="6" t="s">
        <v>30</v>
      </c>
      <c r="H136" s="8" t="str">
        <f t="shared" si="1"/>
        <v>05_mayo</v>
      </c>
      <c r="I136" s="15" t="s">
        <v>13</v>
      </c>
      <c r="J136" s="10" t="str">
        <f t="shared" si="2"/>
        <v>7_domingo</v>
      </c>
    </row>
    <row r="137" ht="22.5" customHeight="1">
      <c r="A137" s="11">
        <v>45796.0</v>
      </c>
      <c r="B137" s="12" t="s">
        <v>17</v>
      </c>
      <c r="C137" s="12" t="s">
        <v>9</v>
      </c>
      <c r="D137" s="13">
        <v>9.0</v>
      </c>
      <c r="E137" s="12" t="s">
        <v>10</v>
      </c>
      <c r="F137" s="12" t="s">
        <v>11</v>
      </c>
      <c r="G137" s="12" t="s">
        <v>30</v>
      </c>
      <c r="H137" s="8" t="str">
        <f t="shared" si="1"/>
        <v>05_mayo</v>
      </c>
      <c r="I137" s="14" t="s">
        <v>39</v>
      </c>
      <c r="J137" s="10" t="str">
        <f t="shared" si="2"/>
        <v>1_lunes</v>
      </c>
    </row>
    <row r="138" ht="22.5" customHeight="1">
      <c r="A138" s="5">
        <v>45797.0</v>
      </c>
      <c r="B138" s="6" t="s">
        <v>14</v>
      </c>
      <c r="C138" s="6" t="s">
        <v>9</v>
      </c>
      <c r="D138" s="7">
        <v>22.0</v>
      </c>
      <c r="E138" s="6" t="s">
        <v>10</v>
      </c>
      <c r="F138" s="6" t="s">
        <v>11</v>
      </c>
      <c r="G138" s="6" t="s">
        <v>30</v>
      </c>
      <c r="H138" s="8" t="str">
        <f t="shared" si="1"/>
        <v>05_mayo</v>
      </c>
      <c r="I138" s="15" t="s">
        <v>16</v>
      </c>
      <c r="J138" s="10" t="str">
        <f t="shared" si="2"/>
        <v>2_martes</v>
      </c>
    </row>
    <row r="139" ht="22.5" customHeight="1">
      <c r="A139" s="11">
        <v>45798.0</v>
      </c>
      <c r="B139" s="12" t="s">
        <v>19</v>
      </c>
      <c r="C139" s="12" t="s">
        <v>9</v>
      </c>
      <c r="D139" s="13">
        <v>7.0</v>
      </c>
      <c r="E139" s="12" t="s">
        <v>10</v>
      </c>
      <c r="F139" s="12" t="s">
        <v>15</v>
      </c>
      <c r="G139" s="12" t="s">
        <v>30</v>
      </c>
      <c r="H139" s="8" t="str">
        <f t="shared" si="1"/>
        <v>05_mayo</v>
      </c>
      <c r="I139" s="14" t="s">
        <v>18</v>
      </c>
      <c r="J139" s="10" t="str">
        <f t="shared" si="2"/>
        <v>3_miércoles</v>
      </c>
    </row>
    <row r="140" ht="22.5" customHeight="1">
      <c r="A140" s="5">
        <v>45799.0</v>
      </c>
      <c r="B140" s="6" t="s">
        <v>14</v>
      </c>
      <c r="C140" s="6" t="s">
        <v>9</v>
      </c>
      <c r="D140" s="7">
        <v>23.0</v>
      </c>
      <c r="E140" s="6" t="s">
        <v>10</v>
      </c>
      <c r="F140" s="6" t="s">
        <v>15</v>
      </c>
      <c r="G140" s="6" t="s">
        <v>30</v>
      </c>
      <c r="H140" s="8" t="str">
        <f t="shared" si="1"/>
        <v>05_mayo</v>
      </c>
      <c r="I140" s="15" t="s">
        <v>33</v>
      </c>
      <c r="J140" s="10" t="str">
        <f t="shared" si="2"/>
        <v>4_jueves</v>
      </c>
    </row>
    <row r="141" ht="22.5" customHeight="1">
      <c r="A141" s="11">
        <v>45800.0</v>
      </c>
      <c r="B141" s="12" t="s">
        <v>8</v>
      </c>
      <c r="C141" s="12" t="s">
        <v>9</v>
      </c>
      <c r="D141" s="13">
        <v>14.0</v>
      </c>
      <c r="E141" s="12" t="s">
        <v>10</v>
      </c>
      <c r="F141" s="12" t="s">
        <v>11</v>
      </c>
      <c r="G141" s="12" t="s">
        <v>30</v>
      </c>
      <c r="H141" s="8" t="str">
        <f t="shared" si="1"/>
        <v>05_mayo</v>
      </c>
      <c r="I141" s="14" t="s">
        <v>20</v>
      </c>
      <c r="J141" s="10" t="str">
        <f t="shared" si="2"/>
        <v>5_viernes</v>
      </c>
    </row>
    <row r="142" ht="22.5" customHeight="1">
      <c r="A142" s="5">
        <v>45801.0</v>
      </c>
      <c r="B142" s="6" t="s">
        <v>8</v>
      </c>
      <c r="C142" s="6" t="s">
        <v>9</v>
      </c>
      <c r="D142" s="7">
        <v>14.0</v>
      </c>
      <c r="E142" s="6" t="s">
        <v>10</v>
      </c>
      <c r="F142" s="6" t="s">
        <v>11</v>
      </c>
      <c r="G142" s="6" t="s">
        <v>30</v>
      </c>
      <c r="H142" s="8" t="str">
        <f t="shared" si="1"/>
        <v>05_mayo</v>
      </c>
      <c r="I142" s="15" t="s">
        <v>40</v>
      </c>
      <c r="J142" s="10" t="str">
        <f t="shared" si="2"/>
        <v>6_sábado</v>
      </c>
    </row>
    <row r="143" ht="22.5" customHeight="1">
      <c r="A143" s="11">
        <v>45802.0</v>
      </c>
      <c r="B143" s="12" t="s">
        <v>26</v>
      </c>
      <c r="C143" s="12" t="s">
        <v>9</v>
      </c>
      <c r="D143" s="13">
        <v>25.0</v>
      </c>
      <c r="E143" s="12" t="s">
        <v>22</v>
      </c>
      <c r="F143" s="12" t="s">
        <v>15</v>
      </c>
      <c r="G143" s="12" t="s">
        <v>30</v>
      </c>
      <c r="H143" s="8" t="str">
        <f t="shared" si="1"/>
        <v>05_mayo</v>
      </c>
      <c r="I143" s="14" t="s">
        <v>13</v>
      </c>
      <c r="J143" s="10" t="str">
        <f t="shared" si="2"/>
        <v>7_domingo</v>
      </c>
    </row>
    <row r="144" ht="22.5" customHeight="1">
      <c r="A144" s="5">
        <v>45803.0</v>
      </c>
      <c r="B144" s="6" t="s">
        <v>8</v>
      </c>
      <c r="C144" s="6" t="s">
        <v>24</v>
      </c>
      <c r="D144" s="7">
        <v>15.0</v>
      </c>
      <c r="E144" s="6" t="s">
        <v>10</v>
      </c>
      <c r="F144" s="6" t="s">
        <v>11</v>
      </c>
      <c r="G144" s="6" t="s">
        <v>30</v>
      </c>
      <c r="H144" s="8" t="str">
        <f t="shared" si="1"/>
        <v>05_mayo</v>
      </c>
      <c r="I144" s="15" t="s">
        <v>39</v>
      </c>
      <c r="J144" s="10" t="str">
        <f t="shared" si="2"/>
        <v>1_lunes</v>
      </c>
    </row>
    <row r="145" ht="22.5" customHeight="1">
      <c r="A145" s="11">
        <v>45804.0</v>
      </c>
      <c r="B145" s="12" t="s">
        <v>17</v>
      </c>
      <c r="C145" s="12" t="s">
        <v>9</v>
      </c>
      <c r="D145" s="13">
        <v>10.0</v>
      </c>
      <c r="E145" s="12" t="s">
        <v>10</v>
      </c>
      <c r="F145" s="12" t="s">
        <v>11</v>
      </c>
      <c r="G145" s="12" t="s">
        <v>30</v>
      </c>
      <c r="H145" s="8" t="str">
        <f t="shared" si="1"/>
        <v>05_mayo</v>
      </c>
      <c r="I145" s="14" t="s">
        <v>16</v>
      </c>
      <c r="J145" s="10" t="str">
        <f t="shared" si="2"/>
        <v>2_martes</v>
      </c>
    </row>
    <row r="146" ht="22.5" customHeight="1">
      <c r="A146" s="5">
        <v>45805.0</v>
      </c>
      <c r="B146" s="6" t="s">
        <v>8</v>
      </c>
      <c r="C146" s="6" t="s">
        <v>9</v>
      </c>
      <c r="D146" s="7">
        <v>14.0</v>
      </c>
      <c r="E146" s="6" t="s">
        <v>10</v>
      </c>
      <c r="F146" s="6" t="s">
        <v>11</v>
      </c>
      <c r="G146" s="6" t="s">
        <v>30</v>
      </c>
      <c r="H146" s="8" t="str">
        <f t="shared" si="1"/>
        <v>05_mayo</v>
      </c>
      <c r="I146" s="15" t="s">
        <v>18</v>
      </c>
      <c r="J146" s="10" t="str">
        <f t="shared" si="2"/>
        <v>3_miércoles</v>
      </c>
    </row>
    <row r="147" ht="22.5" customHeight="1">
      <c r="A147" s="11">
        <v>45806.0</v>
      </c>
      <c r="B147" s="12" t="s">
        <v>19</v>
      </c>
      <c r="C147" s="12" t="s">
        <v>9</v>
      </c>
      <c r="D147" s="13">
        <v>7.0</v>
      </c>
      <c r="E147" s="12" t="s">
        <v>10</v>
      </c>
      <c r="F147" s="12" t="s">
        <v>15</v>
      </c>
      <c r="G147" s="12" t="s">
        <v>30</v>
      </c>
      <c r="H147" s="8" t="str">
        <f t="shared" si="1"/>
        <v>05_mayo</v>
      </c>
      <c r="I147" s="14" t="s">
        <v>33</v>
      </c>
      <c r="J147" s="10" t="str">
        <f t="shared" si="2"/>
        <v>4_jueves</v>
      </c>
    </row>
    <row r="148" ht="22.5" customHeight="1">
      <c r="A148" s="5">
        <v>45807.0</v>
      </c>
      <c r="B148" s="6" t="s">
        <v>8</v>
      </c>
      <c r="C148" s="6" t="s">
        <v>21</v>
      </c>
      <c r="D148" s="7">
        <v>16.0</v>
      </c>
      <c r="E148" s="6" t="s">
        <v>10</v>
      </c>
      <c r="F148" s="6" t="s">
        <v>15</v>
      </c>
      <c r="G148" s="6" t="s">
        <v>30</v>
      </c>
      <c r="H148" s="8" t="str">
        <f t="shared" si="1"/>
        <v>05_mayo</v>
      </c>
      <c r="I148" s="15" t="s">
        <v>20</v>
      </c>
      <c r="J148" s="10" t="str">
        <f t="shared" si="2"/>
        <v>5_viernes</v>
      </c>
    </row>
    <row r="149" ht="22.5" customHeight="1">
      <c r="A149" s="11">
        <v>45808.0</v>
      </c>
      <c r="B149" s="12" t="s">
        <v>17</v>
      </c>
      <c r="C149" s="12" t="s">
        <v>9</v>
      </c>
      <c r="D149" s="13">
        <v>10.0</v>
      </c>
      <c r="E149" s="12" t="s">
        <v>10</v>
      </c>
      <c r="F149" s="12" t="s">
        <v>11</v>
      </c>
      <c r="G149" s="12" t="s">
        <v>30</v>
      </c>
      <c r="H149" s="8" t="str">
        <f t="shared" si="1"/>
        <v>05_mayo</v>
      </c>
      <c r="I149" s="14" t="s">
        <v>40</v>
      </c>
      <c r="J149" s="10" t="str">
        <f t="shared" si="2"/>
        <v>6_sábado</v>
      </c>
    </row>
    <row r="150" ht="22.5" customHeight="1">
      <c r="A150" s="5">
        <v>45809.0</v>
      </c>
      <c r="B150" s="6" t="s">
        <v>19</v>
      </c>
      <c r="C150" s="6" t="s">
        <v>9</v>
      </c>
      <c r="D150" s="7">
        <v>7.0</v>
      </c>
      <c r="E150" s="6" t="s">
        <v>10</v>
      </c>
      <c r="F150" s="6" t="s">
        <v>11</v>
      </c>
      <c r="G150" s="6" t="s">
        <v>31</v>
      </c>
      <c r="H150" s="8" t="str">
        <f t="shared" si="1"/>
        <v>06_junio</v>
      </c>
      <c r="I150" s="15" t="s">
        <v>13</v>
      </c>
      <c r="J150" s="10" t="str">
        <f t="shared" si="2"/>
        <v>7_domingo</v>
      </c>
    </row>
    <row r="151" ht="22.5" customHeight="1">
      <c r="A151" s="11">
        <v>45811.0</v>
      </c>
      <c r="B151" s="12" t="s">
        <v>8</v>
      </c>
      <c r="C151" s="12" t="s">
        <v>9</v>
      </c>
      <c r="D151" s="13">
        <v>21.0</v>
      </c>
      <c r="E151" s="12" t="s">
        <v>10</v>
      </c>
      <c r="F151" s="12" t="s">
        <v>11</v>
      </c>
      <c r="G151" s="12" t="s">
        <v>31</v>
      </c>
      <c r="H151" s="8" t="str">
        <f t="shared" si="1"/>
        <v>06_junio</v>
      </c>
      <c r="I151" s="14" t="s">
        <v>16</v>
      </c>
      <c r="J151" s="10" t="str">
        <f t="shared" si="2"/>
        <v>2_martes</v>
      </c>
    </row>
    <row r="152" ht="22.5" customHeight="1">
      <c r="A152" s="5">
        <v>45812.0</v>
      </c>
      <c r="B152" s="6" t="s">
        <v>17</v>
      </c>
      <c r="C152" s="6" t="s">
        <v>9</v>
      </c>
      <c r="D152" s="7">
        <v>14.0</v>
      </c>
      <c r="E152" s="6" t="s">
        <v>10</v>
      </c>
      <c r="F152" s="6" t="s">
        <v>15</v>
      </c>
      <c r="G152" s="6" t="s">
        <v>31</v>
      </c>
      <c r="H152" s="8" t="str">
        <f t="shared" si="1"/>
        <v>06_junio</v>
      </c>
      <c r="I152" s="15" t="s">
        <v>18</v>
      </c>
      <c r="J152" s="10" t="str">
        <f t="shared" si="2"/>
        <v>3_miércoles</v>
      </c>
    </row>
    <row r="153" ht="22.5" customHeight="1">
      <c r="A153" s="11">
        <v>45814.0</v>
      </c>
      <c r="B153" s="12" t="s">
        <v>14</v>
      </c>
      <c r="C153" s="12" t="s">
        <v>24</v>
      </c>
      <c r="D153" s="13">
        <v>20.0</v>
      </c>
      <c r="E153" s="12" t="s">
        <v>10</v>
      </c>
      <c r="F153" s="12" t="s">
        <v>11</v>
      </c>
      <c r="G153" s="12" t="s">
        <v>31</v>
      </c>
      <c r="H153" s="8" t="str">
        <f t="shared" si="1"/>
        <v>06_junio</v>
      </c>
      <c r="I153" s="14" t="s">
        <v>20</v>
      </c>
      <c r="J153" s="10" t="str">
        <f t="shared" si="2"/>
        <v>5_viernes</v>
      </c>
    </row>
    <row r="154" ht="22.5" customHeight="1">
      <c r="A154" s="5">
        <v>45816.0</v>
      </c>
      <c r="B154" s="6" t="s">
        <v>8</v>
      </c>
      <c r="C154" s="6" t="s">
        <v>9</v>
      </c>
      <c r="D154" s="7">
        <v>14.0</v>
      </c>
      <c r="E154" s="6" t="s">
        <v>10</v>
      </c>
      <c r="F154" s="6" t="s">
        <v>11</v>
      </c>
      <c r="G154" s="6" t="s">
        <v>31</v>
      </c>
      <c r="H154" s="8" t="str">
        <f t="shared" si="1"/>
        <v>06_junio</v>
      </c>
      <c r="I154" s="15" t="s">
        <v>13</v>
      </c>
      <c r="J154" s="10" t="str">
        <f t="shared" si="2"/>
        <v>7_domingo</v>
      </c>
    </row>
    <row r="155" ht="22.5" customHeight="1">
      <c r="A155" s="11">
        <v>45818.0</v>
      </c>
      <c r="B155" s="12" t="s">
        <v>19</v>
      </c>
      <c r="C155" s="12" t="s">
        <v>9</v>
      </c>
      <c r="D155" s="13">
        <v>7.0</v>
      </c>
      <c r="E155" s="12" t="s">
        <v>10</v>
      </c>
      <c r="F155" s="12" t="s">
        <v>15</v>
      </c>
      <c r="G155" s="12" t="s">
        <v>31</v>
      </c>
      <c r="H155" s="8" t="str">
        <f t="shared" si="1"/>
        <v>06_junio</v>
      </c>
      <c r="I155" s="14" t="s">
        <v>16</v>
      </c>
      <c r="J155" s="10" t="str">
        <f t="shared" si="2"/>
        <v>2_martes</v>
      </c>
    </row>
    <row r="156" ht="22.5" customHeight="1">
      <c r="A156" s="5">
        <v>45819.0</v>
      </c>
      <c r="B156" s="6" t="s">
        <v>17</v>
      </c>
      <c r="C156" s="6" t="s">
        <v>9</v>
      </c>
      <c r="D156" s="7">
        <v>11.0</v>
      </c>
      <c r="E156" s="6" t="s">
        <v>10</v>
      </c>
      <c r="F156" s="6" t="s">
        <v>11</v>
      </c>
      <c r="G156" s="6" t="s">
        <v>31</v>
      </c>
      <c r="H156" s="8" t="str">
        <f t="shared" si="1"/>
        <v>06_junio</v>
      </c>
      <c r="I156" s="15" t="s">
        <v>18</v>
      </c>
      <c r="J156" s="10" t="str">
        <f t="shared" si="2"/>
        <v>3_miércoles</v>
      </c>
    </row>
    <row r="157" ht="22.5" customHeight="1">
      <c r="A157" s="11">
        <v>45821.0</v>
      </c>
      <c r="B157" s="12" t="s">
        <v>8</v>
      </c>
      <c r="C157" s="12" t="s">
        <v>9</v>
      </c>
      <c r="D157" s="13">
        <v>15.0</v>
      </c>
      <c r="E157" s="12" t="s">
        <v>10</v>
      </c>
      <c r="F157" s="12" t="s">
        <v>11</v>
      </c>
      <c r="G157" s="12" t="s">
        <v>31</v>
      </c>
      <c r="H157" s="8" t="str">
        <f t="shared" si="1"/>
        <v>06_junio</v>
      </c>
      <c r="I157" s="14" t="s">
        <v>20</v>
      </c>
      <c r="J157" s="10" t="str">
        <f t="shared" si="2"/>
        <v>5_viernes</v>
      </c>
    </row>
    <row r="158" ht="22.5" customHeight="1">
      <c r="A158" s="5">
        <v>45823.0</v>
      </c>
      <c r="B158" s="6" t="s">
        <v>23</v>
      </c>
      <c r="C158" s="6" t="s">
        <v>9</v>
      </c>
      <c r="D158" s="7">
        <v>19.0</v>
      </c>
      <c r="E158" s="6" t="s">
        <v>10</v>
      </c>
      <c r="F158" s="6" t="s">
        <v>15</v>
      </c>
      <c r="G158" s="6" t="s">
        <v>31</v>
      </c>
      <c r="H158" s="8" t="str">
        <f t="shared" si="1"/>
        <v>06_junio</v>
      </c>
      <c r="I158" s="15" t="s">
        <v>13</v>
      </c>
      <c r="J158" s="10" t="str">
        <f t="shared" si="2"/>
        <v>7_domingo</v>
      </c>
    </row>
    <row r="159" ht="22.5" customHeight="1">
      <c r="A159" s="11">
        <v>45825.0</v>
      </c>
      <c r="B159" s="12" t="s">
        <v>8</v>
      </c>
      <c r="C159" s="12" t="s">
        <v>21</v>
      </c>
      <c r="D159" s="13">
        <v>14.0</v>
      </c>
      <c r="E159" s="12" t="s">
        <v>10</v>
      </c>
      <c r="F159" s="12" t="s">
        <v>11</v>
      </c>
      <c r="G159" s="12" t="s">
        <v>31</v>
      </c>
      <c r="H159" s="8" t="str">
        <f t="shared" si="1"/>
        <v>06_junio</v>
      </c>
      <c r="I159" s="14" t="s">
        <v>16</v>
      </c>
      <c r="J159" s="10" t="str">
        <f t="shared" si="2"/>
        <v>2_martes</v>
      </c>
    </row>
    <row r="160" ht="22.5" customHeight="1">
      <c r="A160" s="5">
        <v>45826.0</v>
      </c>
      <c r="B160" s="6" t="s">
        <v>17</v>
      </c>
      <c r="C160" s="6" t="s">
        <v>24</v>
      </c>
      <c r="D160" s="7">
        <v>10.0</v>
      </c>
      <c r="E160" s="6" t="s">
        <v>10</v>
      </c>
      <c r="F160" s="6" t="s">
        <v>11</v>
      </c>
      <c r="G160" s="6" t="s">
        <v>31</v>
      </c>
      <c r="H160" s="8" t="str">
        <f t="shared" si="1"/>
        <v>06_junio</v>
      </c>
      <c r="I160" s="15" t="s">
        <v>18</v>
      </c>
      <c r="J160" s="10" t="str">
        <f t="shared" si="2"/>
        <v>3_miércoles</v>
      </c>
    </row>
    <row r="161" ht="22.5" customHeight="1">
      <c r="A161" s="11">
        <v>45828.0</v>
      </c>
      <c r="B161" s="12" t="s">
        <v>14</v>
      </c>
      <c r="C161" s="12" t="s">
        <v>9</v>
      </c>
      <c r="D161" s="13">
        <v>24.0</v>
      </c>
      <c r="E161" s="12" t="s">
        <v>10</v>
      </c>
      <c r="F161" s="12" t="s">
        <v>15</v>
      </c>
      <c r="G161" s="12" t="s">
        <v>31</v>
      </c>
      <c r="H161" s="8" t="str">
        <f t="shared" si="1"/>
        <v>06_junio</v>
      </c>
      <c r="I161" s="14" t="s">
        <v>20</v>
      </c>
      <c r="J161" s="10" t="str">
        <f t="shared" si="2"/>
        <v>5_viernes</v>
      </c>
    </row>
    <row r="162" ht="22.5" customHeight="1">
      <c r="A162" s="5">
        <v>45830.0</v>
      </c>
      <c r="B162" s="6" t="s">
        <v>8</v>
      </c>
      <c r="C162" s="6" t="s">
        <v>9</v>
      </c>
      <c r="D162" s="7">
        <v>14.0</v>
      </c>
      <c r="E162" s="6" t="s">
        <v>10</v>
      </c>
      <c r="F162" s="6" t="s">
        <v>11</v>
      </c>
      <c r="G162" s="6" t="s">
        <v>31</v>
      </c>
      <c r="H162" s="8" t="str">
        <f t="shared" si="1"/>
        <v>06_junio</v>
      </c>
      <c r="I162" s="15" t="s">
        <v>13</v>
      </c>
      <c r="J162" s="10" t="str">
        <f t="shared" si="2"/>
        <v>7_domingo</v>
      </c>
    </row>
    <row r="163" ht="22.5" customHeight="1">
      <c r="A163" s="11">
        <v>45832.0</v>
      </c>
      <c r="B163" s="12" t="s">
        <v>19</v>
      </c>
      <c r="C163" s="12" t="s">
        <v>9</v>
      </c>
      <c r="D163" s="13">
        <v>7.0</v>
      </c>
      <c r="E163" s="12" t="s">
        <v>10</v>
      </c>
      <c r="F163" s="12" t="s">
        <v>11</v>
      </c>
      <c r="G163" s="12" t="s">
        <v>31</v>
      </c>
      <c r="H163" s="8" t="str">
        <f t="shared" si="1"/>
        <v>06_junio</v>
      </c>
      <c r="I163" s="14" t="s">
        <v>16</v>
      </c>
      <c r="J163" s="10" t="str">
        <f t="shared" si="2"/>
        <v>2_martes</v>
      </c>
    </row>
    <row r="164" ht="22.5" customHeight="1">
      <c r="A164" s="5">
        <v>45833.0</v>
      </c>
      <c r="B164" s="6" t="s">
        <v>26</v>
      </c>
      <c r="C164" s="6" t="s">
        <v>9</v>
      </c>
      <c r="D164" s="7">
        <v>22.0</v>
      </c>
      <c r="E164" s="6" t="s">
        <v>10</v>
      </c>
      <c r="F164" s="6" t="s">
        <v>15</v>
      </c>
      <c r="G164" s="6" t="s">
        <v>31</v>
      </c>
      <c r="H164" s="8" t="str">
        <f t="shared" si="1"/>
        <v>06_junio</v>
      </c>
      <c r="I164" s="15" t="s">
        <v>18</v>
      </c>
      <c r="J164" s="10" t="str">
        <f t="shared" si="2"/>
        <v>3_miércoles</v>
      </c>
    </row>
    <row r="165" ht="22.5" customHeight="1">
      <c r="A165" s="11">
        <v>45835.0</v>
      </c>
      <c r="B165" s="12" t="s">
        <v>8</v>
      </c>
      <c r="C165" s="12" t="s">
        <v>9</v>
      </c>
      <c r="D165" s="13">
        <v>14.0</v>
      </c>
      <c r="E165" s="12" t="s">
        <v>10</v>
      </c>
      <c r="F165" s="12" t="s">
        <v>11</v>
      </c>
      <c r="G165" s="12" t="s">
        <v>31</v>
      </c>
      <c r="H165" s="8" t="str">
        <f t="shared" si="1"/>
        <v>06_junio</v>
      </c>
      <c r="I165" s="14" t="s">
        <v>20</v>
      </c>
      <c r="J165" s="10" t="str">
        <f t="shared" si="2"/>
        <v>5_viernes</v>
      </c>
    </row>
    <row r="166" ht="22.5" customHeight="1">
      <c r="A166" s="5">
        <v>45837.0</v>
      </c>
      <c r="B166" s="6" t="s">
        <v>17</v>
      </c>
      <c r="C166" s="6" t="s">
        <v>9</v>
      </c>
      <c r="D166" s="7">
        <v>9.0</v>
      </c>
      <c r="E166" s="6" t="s">
        <v>10</v>
      </c>
      <c r="F166" s="6" t="s">
        <v>11</v>
      </c>
      <c r="G166" s="6" t="s">
        <v>31</v>
      </c>
      <c r="H166" s="8" t="str">
        <f t="shared" si="1"/>
        <v>06_junio</v>
      </c>
      <c r="I166" s="15" t="s">
        <v>13</v>
      </c>
      <c r="J166" s="10" t="str">
        <f t="shared" si="2"/>
        <v>7_domingo</v>
      </c>
    </row>
    <row r="167" ht="22.5" customHeight="1">
      <c r="A167" s="11">
        <v>45839.0</v>
      </c>
      <c r="B167" s="12" t="s">
        <v>8</v>
      </c>
      <c r="C167" s="12" t="s">
        <v>9</v>
      </c>
      <c r="D167" s="13">
        <v>21.0</v>
      </c>
      <c r="E167" s="12" t="s">
        <v>10</v>
      </c>
      <c r="F167" s="12" t="s">
        <v>15</v>
      </c>
      <c r="G167" s="12" t="s">
        <v>32</v>
      </c>
      <c r="H167" s="8" t="str">
        <f t="shared" si="1"/>
        <v>07_julio</v>
      </c>
      <c r="I167" s="14" t="s">
        <v>16</v>
      </c>
      <c r="J167" s="10" t="str">
        <f t="shared" si="2"/>
        <v>2_martes</v>
      </c>
    </row>
    <row r="168" ht="22.5" customHeight="1">
      <c r="A168" s="5">
        <v>45841.0</v>
      </c>
      <c r="B168" s="6" t="s">
        <v>14</v>
      </c>
      <c r="C168" s="6" t="s">
        <v>9</v>
      </c>
      <c r="D168" s="7">
        <v>28.0</v>
      </c>
      <c r="E168" s="6" t="s">
        <v>22</v>
      </c>
      <c r="F168" s="6" t="s">
        <v>11</v>
      </c>
      <c r="G168" s="6" t="s">
        <v>32</v>
      </c>
      <c r="H168" s="8" t="str">
        <f t="shared" si="1"/>
        <v>07_julio</v>
      </c>
      <c r="I168" s="15" t="s">
        <v>33</v>
      </c>
      <c r="J168" s="10" t="str">
        <f t="shared" si="2"/>
        <v>4_jueves</v>
      </c>
    </row>
    <row r="169" ht="22.5" customHeight="1">
      <c r="A169" s="11">
        <v>45844.0</v>
      </c>
      <c r="B169" s="12" t="s">
        <v>19</v>
      </c>
      <c r="C169" s="12" t="s">
        <v>9</v>
      </c>
      <c r="D169" s="13">
        <v>7.0</v>
      </c>
      <c r="E169" s="12" t="s">
        <v>10</v>
      </c>
      <c r="F169" s="12" t="s">
        <v>11</v>
      </c>
      <c r="G169" s="12" t="s">
        <v>32</v>
      </c>
      <c r="H169" s="8" t="str">
        <f t="shared" si="1"/>
        <v>07_julio</v>
      </c>
      <c r="I169" s="14" t="s">
        <v>13</v>
      </c>
      <c r="J169" s="10" t="str">
        <f t="shared" si="2"/>
        <v>7_domingo</v>
      </c>
    </row>
    <row r="170" ht="22.5" customHeight="1">
      <c r="A170" s="5">
        <v>45846.0</v>
      </c>
      <c r="B170" s="6" t="s">
        <v>17</v>
      </c>
      <c r="C170" s="6" t="s">
        <v>9</v>
      </c>
      <c r="D170" s="7">
        <v>14.0</v>
      </c>
      <c r="E170" s="6" t="s">
        <v>10</v>
      </c>
      <c r="F170" s="6" t="s">
        <v>15</v>
      </c>
      <c r="G170" s="6" t="s">
        <v>32</v>
      </c>
      <c r="H170" s="8" t="str">
        <f t="shared" si="1"/>
        <v>07_julio</v>
      </c>
      <c r="I170" s="15" t="s">
        <v>16</v>
      </c>
      <c r="J170" s="10" t="str">
        <f t="shared" si="2"/>
        <v>2_martes</v>
      </c>
    </row>
    <row r="171" ht="22.5" customHeight="1">
      <c r="A171" s="11">
        <v>45848.0</v>
      </c>
      <c r="B171" s="12" t="s">
        <v>8</v>
      </c>
      <c r="C171" s="12" t="s">
        <v>24</v>
      </c>
      <c r="D171" s="13">
        <v>15.0</v>
      </c>
      <c r="E171" s="12" t="s">
        <v>10</v>
      </c>
      <c r="F171" s="12" t="s">
        <v>11</v>
      </c>
      <c r="G171" s="12" t="s">
        <v>32</v>
      </c>
      <c r="H171" s="8" t="str">
        <f t="shared" si="1"/>
        <v>07_julio</v>
      </c>
      <c r="I171" s="14" t="s">
        <v>33</v>
      </c>
      <c r="J171" s="10" t="str">
        <f t="shared" si="2"/>
        <v>4_jueves</v>
      </c>
    </row>
    <row r="172" ht="22.5" customHeight="1">
      <c r="A172" s="5">
        <v>45851.0</v>
      </c>
      <c r="B172" s="6" t="s">
        <v>8</v>
      </c>
      <c r="C172" s="6" t="s">
        <v>9</v>
      </c>
      <c r="D172" s="7">
        <v>21.0</v>
      </c>
      <c r="E172" s="6" t="s">
        <v>10</v>
      </c>
      <c r="F172" s="6" t="s">
        <v>11</v>
      </c>
      <c r="G172" s="6" t="s">
        <v>32</v>
      </c>
      <c r="H172" s="8" t="str">
        <f t="shared" si="1"/>
        <v>07_julio</v>
      </c>
      <c r="I172" s="15" t="s">
        <v>13</v>
      </c>
      <c r="J172" s="10" t="str">
        <f t="shared" si="2"/>
        <v>7_domingo</v>
      </c>
    </row>
    <row r="173" ht="22.5" customHeight="1">
      <c r="A173" s="11">
        <v>45853.0</v>
      </c>
      <c r="B173" s="12" t="s">
        <v>17</v>
      </c>
      <c r="C173" s="12" t="s">
        <v>9</v>
      </c>
      <c r="D173" s="13">
        <v>12.0</v>
      </c>
      <c r="E173" s="12" t="s">
        <v>10</v>
      </c>
      <c r="F173" s="12" t="s">
        <v>15</v>
      </c>
      <c r="G173" s="12" t="s">
        <v>32</v>
      </c>
      <c r="H173" s="8" t="str">
        <f t="shared" si="1"/>
        <v>07_julio</v>
      </c>
      <c r="I173" s="14" t="s">
        <v>16</v>
      </c>
      <c r="J173" s="10" t="str">
        <f t="shared" si="2"/>
        <v>2_martes</v>
      </c>
    </row>
    <row r="174" ht="22.5" customHeight="1">
      <c r="A174" s="5">
        <v>45855.0</v>
      </c>
      <c r="B174" s="6" t="s">
        <v>23</v>
      </c>
      <c r="C174" s="6" t="s">
        <v>9</v>
      </c>
      <c r="D174" s="7">
        <v>20.0</v>
      </c>
      <c r="E174" s="6" t="s">
        <v>10</v>
      </c>
      <c r="F174" s="6" t="s">
        <v>11</v>
      </c>
      <c r="G174" s="6" t="s">
        <v>32</v>
      </c>
      <c r="H174" s="8" t="str">
        <f t="shared" si="1"/>
        <v>07_julio</v>
      </c>
      <c r="I174" s="15" t="s">
        <v>33</v>
      </c>
      <c r="J174" s="10" t="str">
        <f t="shared" si="2"/>
        <v>4_jueves</v>
      </c>
    </row>
    <row r="175" ht="22.5" customHeight="1">
      <c r="A175" s="11">
        <v>45858.0</v>
      </c>
      <c r="B175" s="12" t="s">
        <v>8</v>
      </c>
      <c r="C175" s="12" t="s">
        <v>21</v>
      </c>
      <c r="D175" s="13">
        <v>14.0</v>
      </c>
      <c r="E175" s="12" t="s">
        <v>10</v>
      </c>
      <c r="F175" s="12" t="s">
        <v>11</v>
      </c>
      <c r="G175" s="12" t="s">
        <v>32</v>
      </c>
      <c r="H175" s="8" t="str">
        <f t="shared" si="1"/>
        <v>07_julio</v>
      </c>
      <c r="I175" s="14" t="s">
        <v>13</v>
      </c>
      <c r="J175" s="10" t="str">
        <f t="shared" si="2"/>
        <v>7_domingo</v>
      </c>
    </row>
    <row r="176" ht="22.5" customHeight="1">
      <c r="A176" s="5">
        <v>45860.0</v>
      </c>
      <c r="B176" s="6" t="s">
        <v>19</v>
      </c>
      <c r="C176" s="6" t="s">
        <v>9</v>
      </c>
      <c r="D176" s="7">
        <v>7.0</v>
      </c>
      <c r="E176" s="6" t="s">
        <v>10</v>
      </c>
      <c r="F176" s="6" t="s">
        <v>15</v>
      </c>
      <c r="G176" s="6" t="s">
        <v>32</v>
      </c>
      <c r="H176" s="8" t="str">
        <f t="shared" si="1"/>
        <v>07_julio</v>
      </c>
      <c r="I176" s="15" t="s">
        <v>16</v>
      </c>
      <c r="J176" s="10" t="str">
        <f t="shared" si="2"/>
        <v>2_martes</v>
      </c>
    </row>
    <row r="177" ht="22.5" customHeight="1">
      <c r="A177" s="11">
        <v>45862.0</v>
      </c>
      <c r="B177" s="12" t="s">
        <v>8</v>
      </c>
      <c r="C177" s="12" t="s">
        <v>9</v>
      </c>
      <c r="D177" s="13">
        <v>21.0</v>
      </c>
      <c r="E177" s="12" t="s">
        <v>10</v>
      </c>
      <c r="F177" s="12" t="s">
        <v>11</v>
      </c>
      <c r="G177" s="12" t="s">
        <v>32</v>
      </c>
      <c r="H177" s="8" t="str">
        <f t="shared" si="1"/>
        <v>07_julio</v>
      </c>
      <c r="I177" s="14" t="s">
        <v>33</v>
      </c>
      <c r="J177" s="10" t="str">
        <f t="shared" si="2"/>
        <v>4_jueves</v>
      </c>
    </row>
    <row r="178" ht="22.5" customHeight="1">
      <c r="A178" s="5">
        <v>45865.0</v>
      </c>
      <c r="B178" s="6" t="s">
        <v>17</v>
      </c>
      <c r="C178" s="6" t="s">
        <v>9</v>
      </c>
      <c r="D178" s="7">
        <v>10.0</v>
      </c>
      <c r="E178" s="6" t="s">
        <v>10</v>
      </c>
      <c r="F178" s="6" t="s">
        <v>11</v>
      </c>
      <c r="G178" s="6" t="s">
        <v>32</v>
      </c>
      <c r="H178" s="8" t="str">
        <f t="shared" si="1"/>
        <v>07_julio</v>
      </c>
      <c r="I178" s="15" t="s">
        <v>13</v>
      </c>
      <c r="J178" s="10" t="str">
        <f t="shared" si="2"/>
        <v>7_domingo</v>
      </c>
    </row>
    <row r="179" ht="22.5" customHeight="1">
      <c r="A179" s="11">
        <v>45867.0</v>
      </c>
      <c r="B179" s="12" t="s">
        <v>14</v>
      </c>
      <c r="C179" s="12" t="s">
        <v>9</v>
      </c>
      <c r="D179" s="13">
        <v>25.0</v>
      </c>
      <c r="E179" s="12" t="s">
        <v>10</v>
      </c>
      <c r="F179" s="12" t="s">
        <v>15</v>
      </c>
      <c r="G179" s="12" t="s">
        <v>32</v>
      </c>
      <c r="H179" s="8" t="str">
        <f t="shared" si="1"/>
        <v>07_julio</v>
      </c>
      <c r="I179" s="14" t="s">
        <v>16</v>
      </c>
      <c r="J179" s="10" t="str">
        <f t="shared" si="2"/>
        <v>2_martes</v>
      </c>
    </row>
    <row r="180" ht="22.5" customHeight="1">
      <c r="A180" s="5">
        <v>45869.0</v>
      </c>
      <c r="B180" s="6" t="s">
        <v>8</v>
      </c>
      <c r="C180" s="6" t="s">
        <v>9</v>
      </c>
      <c r="D180" s="7">
        <v>14.0</v>
      </c>
      <c r="E180" s="6" t="s">
        <v>10</v>
      </c>
      <c r="F180" s="6" t="s">
        <v>11</v>
      </c>
      <c r="G180" s="6" t="s">
        <v>32</v>
      </c>
      <c r="H180" s="8" t="str">
        <f t="shared" si="1"/>
        <v>07_julio</v>
      </c>
      <c r="I180" s="15" t="s">
        <v>33</v>
      </c>
      <c r="J180" s="10" t="str">
        <f t="shared" si="2"/>
        <v>4_jueves</v>
      </c>
    </row>
    <row r="181" ht="22.5" customHeight="1">
      <c r="A181" s="11">
        <v>45872.0</v>
      </c>
      <c r="B181" s="12" t="s">
        <v>19</v>
      </c>
      <c r="C181" s="12" t="s">
        <v>9</v>
      </c>
      <c r="D181" s="13">
        <v>7.0</v>
      </c>
      <c r="E181" s="12" t="s">
        <v>10</v>
      </c>
      <c r="F181" s="12" t="s">
        <v>11</v>
      </c>
      <c r="G181" s="12" t="s">
        <v>34</v>
      </c>
      <c r="H181" s="8" t="str">
        <f t="shared" si="1"/>
        <v>08_agosto</v>
      </c>
      <c r="I181" s="14" t="s">
        <v>13</v>
      </c>
      <c r="J181" s="10" t="str">
        <f t="shared" si="2"/>
        <v>7_domingo</v>
      </c>
    </row>
    <row r="182" ht="22.5" customHeight="1">
      <c r="A182" s="5">
        <v>45874.0</v>
      </c>
      <c r="B182" s="6" t="s">
        <v>8</v>
      </c>
      <c r="C182" s="6" t="s">
        <v>9</v>
      </c>
      <c r="D182" s="7">
        <v>28.0</v>
      </c>
      <c r="E182" s="6" t="s">
        <v>22</v>
      </c>
      <c r="F182" s="6" t="s">
        <v>15</v>
      </c>
      <c r="G182" s="6" t="s">
        <v>34</v>
      </c>
      <c r="H182" s="8" t="str">
        <f t="shared" si="1"/>
        <v>08_agosto</v>
      </c>
      <c r="I182" s="15" t="s">
        <v>16</v>
      </c>
      <c r="J182" s="10" t="str">
        <f t="shared" si="2"/>
        <v>2_martes</v>
      </c>
    </row>
    <row r="183" ht="22.5" customHeight="1">
      <c r="A183" s="11">
        <v>45876.0</v>
      </c>
      <c r="B183" s="12" t="s">
        <v>17</v>
      </c>
      <c r="C183" s="12" t="s">
        <v>24</v>
      </c>
      <c r="D183" s="13">
        <v>14.0</v>
      </c>
      <c r="E183" s="12" t="s">
        <v>10</v>
      </c>
      <c r="F183" s="12" t="s">
        <v>11</v>
      </c>
      <c r="G183" s="12" t="s">
        <v>34</v>
      </c>
      <c r="H183" s="8" t="str">
        <f t="shared" si="1"/>
        <v>08_agosto</v>
      </c>
      <c r="I183" s="14" t="s">
        <v>33</v>
      </c>
      <c r="J183" s="10" t="str">
        <f t="shared" si="2"/>
        <v>4_jueves</v>
      </c>
    </row>
    <row r="184" ht="22.5" customHeight="1">
      <c r="A184" s="5">
        <v>45879.0</v>
      </c>
      <c r="B184" s="6" t="s">
        <v>8</v>
      </c>
      <c r="C184" s="6" t="s">
        <v>9</v>
      </c>
      <c r="D184" s="7">
        <v>21.0</v>
      </c>
      <c r="E184" s="6" t="s">
        <v>10</v>
      </c>
      <c r="F184" s="6" t="s">
        <v>11</v>
      </c>
      <c r="G184" s="6" t="s">
        <v>34</v>
      </c>
      <c r="H184" s="8" t="str">
        <f t="shared" si="1"/>
        <v>08_agosto</v>
      </c>
      <c r="I184" s="15" t="s">
        <v>13</v>
      </c>
      <c r="J184" s="10" t="str">
        <f t="shared" si="2"/>
        <v>7_domingo</v>
      </c>
    </row>
    <row r="185" ht="22.5" customHeight="1">
      <c r="A185" s="11">
        <v>45881.0</v>
      </c>
      <c r="B185" s="12" t="s">
        <v>14</v>
      </c>
      <c r="C185" s="12" t="s">
        <v>9</v>
      </c>
      <c r="D185" s="13">
        <v>23.0</v>
      </c>
      <c r="E185" s="12" t="s">
        <v>10</v>
      </c>
      <c r="F185" s="12" t="s">
        <v>15</v>
      </c>
      <c r="G185" s="12" t="s">
        <v>34</v>
      </c>
      <c r="H185" s="8" t="str">
        <f t="shared" si="1"/>
        <v>08_agosto</v>
      </c>
      <c r="I185" s="14" t="s">
        <v>16</v>
      </c>
      <c r="J185" s="10" t="str">
        <f t="shared" si="2"/>
        <v>2_martes</v>
      </c>
    </row>
    <row r="186" ht="22.5" customHeight="1">
      <c r="A186" s="5">
        <v>45883.0</v>
      </c>
      <c r="B186" s="6" t="s">
        <v>17</v>
      </c>
      <c r="C186" s="6" t="s">
        <v>9</v>
      </c>
      <c r="D186" s="7">
        <v>11.0</v>
      </c>
      <c r="E186" s="6" t="s">
        <v>10</v>
      </c>
      <c r="F186" s="6" t="s">
        <v>11</v>
      </c>
      <c r="G186" s="6" t="s">
        <v>34</v>
      </c>
      <c r="H186" s="8" t="str">
        <f t="shared" si="1"/>
        <v>08_agosto</v>
      </c>
      <c r="I186" s="15" t="s">
        <v>33</v>
      </c>
      <c r="J186" s="10" t="str">
        <f t="shared" si="2"/>
        <v>4_jueves</v>
      </c>
    </row>
    <row r="187" ht="22.5" customHeight="1">
      <c r="A187" s="11">
        <v>45886.0</v>
      </c>
      <c r="B187" s="12" t="s">
        <v>8</v>
      </c>
      <c r="C187" s="12" t="s">
        <v>9</v>
      </c>
      <c r="D187" s="13">
        <v>14.0</v>
      </c>
      <c r="E187" s="12" t="s">
        <v>10</v>
      </c>
      <c r="F187" s="12" t="s">
        <v>11</v>
      </c>
      <c r="G187" s="12" t="s">
        <v>34</v>
      </c>
      <c r="H187" s="8" t="str">
        <f t="shared" si="1"/>
        <v>08_agosto</v>
      </c>
      <c r="I187" s="14" t="s">
        <v>13</v>
      </c>
      <c r="J187" s="10" t="str">
        <f t="shared" si="2"/>
        <v>7_domingo</v>
      </c>
    </row>
    <row r="188" ht="22.5" customHeight="1">
      <c r="A188" s="5">
        <v>45888.0</v>
      </c>
      <c r="B188" s="6" t="s">
        <v>19</v>
      </c>
      <c r="C188" s="6" t="s">
        <v>9</v>
      </c>
      <c r="D188" s="7">
        <v>7.0</v>
      </c>
      <c r="E188" s="6" t="s">
        <v>10</v>
      </c>
      <c r="F188" s="6" t="s">
        <v>15</v>
      </c>
      <c r="G188" s="6" t="s">
        <v>34</v>
      </c>
      <c r="H188" s="8" t="str">
        <f t="shared" si="1"/>
        <v>08_agosto</v>
      </c>
      <c r="I188" s="15" t="s">
        <v>16</v>
      </c>
      <c r="J188" s="10" t="str">
        <f t="shared" si="2"/>
        <v>2_martes</v>
      </c>
    </row>
    <row r="189" ht="22.5" customHeight="1">
      <c r="A189" s="11">
        <v>45890.0</v>
      </c>
      <c r="B189" s="12" t="s">
        <v>26</v>
      </c>
      <c r="C189" s="12" t="s">
        <v>21</v>
      </c>
      <c r="D189" s="13">
        <v>26.0</v>
      </c>
      <c r="E189" s="12" t="s">
        <v>10</v>
      </c>
      <c r="F189" s="12" t="s">
        <v>11</v>
      </c>
      <c r="G189" s="12" t="s">
        <v>34</v>
      </c>
      <c r="H189" s="8" t="str">
        <f t="shared" si="1"/>
        <v>08_agosto</v>
      </c>
      <c r="I189" s="14" t="s">
        <v>33</v>
      </c>
      <c r="J189" s="10" t="str">
        <f t="shared" si="2"/>
        <v>4_jueves</v>
      </c>
    </row>
    <row r="190" ht="22.5" customHeight="1">
      <c r="A190" s="5">
        <v>45893.0</v>
      </c>
      <c r="B190" s="6" t="s">
        <v>8</v>
      </c>
      <c r="C190" s="6" t="s">
        <v>9</v>
      </c>
      <c r="D190" s="7">
        <v>21.0</v>
      </c>
      <c r="E190" s="6" t="s">
        <v>10</v>
      </c>
      <c r="F190" s="6" t="s">
        <v>11</v>
      </c>
      <c r="G190" s="6" t="s">
        <v>34</v>
      </c>
      <c r="H190" s="8" t="str">
        <f t="shared" si="1"/>
        <v>08_agosto</v>
      </c>
      <c r="I190" s="15" t="s">
        <v>13</v>
      </c>
      <c r="J190" s="10" t="str">
        <f t="shared" si="2"/>
        <v>7_domingo</v>
      </c>
    </row>
    <row r="191" ht="22.5" customHeight="1">
      <c r="A191" s="11">
        <v>45895.0</v>
      </c>
      <c r="B191" s="12" t="s">
        <v>17</v>
      </c>
      <c r="C191" s="12" t="s">
        <v>9</v>
      </c>
      <c r="D191" s="13">
        <v>10.0</v>
      </c>
      <c r="E191" s="12" t="s">
        <v>10</v>
      </c>
      <c r="F191" s="12" t="s">
        <v>15</v>
      </c>
      <c r="G191" s="12" t="s">
        <v>34</v>
      </c>
      <c r="H191" s="8" t="str">
        <f t="shared" si="1"/>
        <v>08_agosto</v>
      </c>
      <c r="I191" s="14" t="s">
        <v>16</v>
      </c>
      <c r="J191" s="10" t="str">
        <f t="shared" si="2"/>
        <v>2_martes</v>
      </c>
    </row>
    <row r="192" ht="22.5" customHeight="1">
      <c r="A192" s="5">
        <v>45897.0</v>
      </c>
      <c r="B192" s="6" t="s">
        <v>8</v>
      </c>
      <c r="C192" s="6" t="s">
        <v>24</v>
      </c>
      <c r="D192" s="7">
        <v>14.0</v>
      </c>
      <c r="E192" s="6" t="s">
        <v>10</v>
      </c>
      <c r="F192" s="6" t="s">
        <v>11</v>
      </c>
      <c r="G192" s="6" t="s">
        <v>34</v>
      </c>
      <c r="H192" s="8" t="str">
        <f t="shared" si="1"/>
        <v>08_agosto</v>
      </c>
      <c r="I192" s="15" t="s">
        <v>33</v>
      </c>
      <c r="J192" s="10" t="str">
        <f t="shared" si="2"/>
        <v>4_jueves</v>
      </c>
    </row>
    <row r="193" ht="22.5" customHeight="1">
      <c r="A193" s="11">
        <v>45900.0</v>
      </c>
      <c r="B193" s="12" t="s">
        <v>23</v>
      </c>
      <c r="C193" s="12" t="s">
        <v>9</v>
      </c>
      <c r="D193" s="13">
        <v>19.0</v>
      </c>
      <c r="E193" s="12" t="s">
        <v>10</v>
      </c>
      <c r="F193" s="12" t="s">
        <v>11</v>
      </c>
      <c r="G193" s="12" t="s">
        <v>34</v>
      </c>
      <c r="H193" s="8" t="str">
        <f t="shared" si="1"/>
        <v>08_agosto</v>
      </c>
      <c r="I193" s="14" t="s">
        <v>13</v>
      </c>
      <c r="J193" s="10" t="str">
        <f t="shared" si="2"/>
        <v>7_domingo</v>
      </c>
    </row>
    <row r="194" ht="22.5" customHeight="1">
      <c r="A194" s="5">
        <v>45902.0</v>
      </c>
      <c r="B194" s="6" t="s">
        <v>8</v>
      </c>
      <c r="C194" s="6" t="s">
        <v>9</v>
      </c>
      <c r="D194" s="7">
        <v>14.0</v>
      </c>
      <c r="E194" s="6" t="s">
        <v>10</v>
      </c>
      <c r="F194" s="6" t="s">
        <v>15</v>
      </c>
      <c r="G194" s="6" t="s">
        <v>35</v>
      </c>
      <c r="H194" s="8" t="str">
        <f t="shared" si="1"/>
        <v>09_septiembre</v>
      </c>
      <c r="I194" s="15" t="s">
        <v>16</v>
      </c>
      <c r="J194" s="10" t="str">
        <f t="shared" si="2"/>
        <v>2_martes</v>
      </c>
    </row>
    <row r="195" ht="22.5" customHeight="1">
      <c r="A195" s="11">
        <v>45903.0</v>
      </c>
      <c r="B195" s="12" t="s">
        <v>17</v>
      </c>
      <c r="C195" s="12" t="s">
        <v>9</v>
      </c>
      <c r="D195" s="13">
        <v>9.0</v>
      </c>
      <c r="E195" s="12" t="s">
        <v>10</v>
      </c>
      <c r="F195" s="12" t="s">
        <v>11</v>
      </c>
      <c r="G195" s="12" t="s">
        <v>35</v>
      </c>
      <c r="H195" s="8" t="str">
        <f t="shared" si="1"/>
        <v>09_septiembre</v>
      </c>
      <c r="I195" s="14" t="s">
        <v>18</v>
      </c>
      <c r="J195" s="10" t="str">
        <f t="shared" si="2"/>
        <v>3_miércoles</v>
      </c>
    </row>
    <row r="196" ht="22.5" customHeight="1">
      <c r="A196" s="5">
        <v>45905.0</v>
      </c>
      <c r="B196" s="6" t="s">
        <v>14</v>
      </c>
      <c r="C196" s="6" t="s">
        <v>9</v>
      </c>
      <c r="D196" s="7">
        <v>21.0</v>
      </c>
      <c r="E196" s="6" t="s">
        <v>10</v>
      </c>
      <c r="F196" s="6" t="s">
        <v>11</v>
      </c>
      <c r="G196" s="6" t="s">
        <v>35</v>
      </c>
      <c r="H196" s="8" t="str">
        <f t="shared" si="1"/>
        <v>09_septiembre</v>
      </c>
      <c r="I196" s="15" t="s">
        <v>20</v>
      </c>
      <c r="J196" s="10" t="str">
        <f t="shared" si="2"/>
        <v>5_viernes</v>
      </c>
    </row>
    <row r="197" ht="22.5" customHeight="1">
      <c r="A197" s="11">
        <v>45907.0</v>
      </c>
      <c r="B197" s="12" t="s">
        <v>8</v>
      </c>
      <c r="C197" s="12" t="s">
        <v>21</v>
      </c>
      <c r="D197" s="13">
        <v>14.0</v>
      </c>
      <c r="E197" s="12" t="s">
        <v>10</v>
      </c>
      <c r="F197" s="12" t="s">
        <v>15</v>
      </c>
      <c r="G197" s="12" t="s">
        <v>35</v>
      </c>
      <c r="H197" s="8" t="str">
        <f t="shared" si="1"/>
        <v>09_septiembre</v>
      </c>
      <c r="I197" s="14" t="s">
        <v>13</v>
      </c>
      <c r="J197" s="10" t="str">
        <f t="shared" si="2"/>
        <v>7_domingo</v>
      </c>
    </row>
    <row r="198" ht="22.5" customHeight="1">
      <c r="A198" s="5">
        <v>45909.0</v>
      </c>
      <c r="B198" s="6" t="s">
        <v>19</v>
      </c>
      <c r="C198" s="6" t="s">
        <v>9</v>
      </c>
      <c r="D198" s="7">
        <v>7.0</v>
      </c>
      <c r="E198" s="6" t="s">
        <v>10</v>
      </c>
      <c r="F198" s="6" t="s">
        <v>11</v>
      </c>
      <c r="G198" s="6" t="s">
        <v>35</v>
      </c>
      <c r="H198" s="8" t="str">
        <f t="shared" si="1"/>
        <v>09_septiembre</v>
      </c>
      <c r="I198" s="15" t="s">
        <v>16</v>
      </c>
      <c r="J198" s="10" t="str">
        <f t="shared" si="2"/>
        <v>2_martes</v>
      </c>
    </row>
    <row r="199" ht="22.5" customHeight="1">
      <c r="A199" s="11">
        <v>45910.0</v>
      </c>
      <c r="B199" s="12" t="s">
        <v>17</v>
      </c>
      <c r="C199" s="12" t="s">
        <v>24</v>
      </c>
      <c r="D199" s="13">
        <v>12.0</v>
      </c>
      <c r="E199" s="12" t="s">
        <v>10</v>
      </c>
      <c r="F199" s="12" t="s">
        <v>11</v>
      </c>
      <c r="G199" s="12" t="s">
        <v>35</v>
      </c>
      <c r="H199" s="8" t="str">
        <f t="shared" si="1"/>
        <v>09_septiembre</v>
      </c>
      <c r="I199" s="14" t="s">
        <v>18</v>
      </c>
      <c r="J199" s="10" t="str">
        <f t="shared" si="2"/>
        <v>3_miércoles</v>
      </c>
    </row>
    <row r="200" ht="22.5" customHeight="1">
      <c r="A200" s="5">
        <v>45912.0</v>
      </c>
      <c r="B200" s="6" t="s">
        <v>8</v>
      </c>
      <c r="C200" s="6" t="s">
        <v>9</v>
      </c>
      <c r="D200" s="7">
        <v>14.0</v>
      </c>
      <c r="E200" s="6" t="s">
        <v>10</v>
      </c>
      <c r="F200" s="6" t="s">
        <v>15</v>
      </c>
      <c r="G200" s="6" t="s">
        <v>35</v>
      </c>
      <c r="H200" s="8" t="str">
        <f t="shared" si="1"/>
        <v>09_septiembre</v>
      </c>
      <c r="I200" s="15" t="s">
        <v>20</v>
      </c>
      <c r="J200" s="10" t="str">
        <f t="shared" si="2"/>
        <v>5_viernes</v>
      </c>
    </row>
    <row r="201" ht="22.5" customHeight="1">
      <c r="A201" s="11">
        <v>45914.0</v>
      </c>
      <c r="B201" s="12" t="s">
        <v>8</v>
      </c>
      <c r="C201" s="12" t="s">
        <v>9</v>
      </c>
      <c r="D201" s="13">
        <v>16.0</v>
      </c>
      <c r="E201" s="12" t="s">
        <v>22</v>
      </c>
      <c r="F201" s="12" t="s">
        <v>11</v>
      </c>
      <c r="G201" s="12" t="s">
        <v>35</v>
      </c>
      <c r="H201" s="8" t="str">
        <f t="shared" si="1"/>
        <v>09_septiembre</v>
      </c>
      <c r="I201" s="14" t="s">
        <v>13</v>
      </c>
      <c r="J201" s="10" t="str">
        <f t="shared" si="2"/>
        <v>7_domingo</v>
      </c>
    </row>
    <row r="202" ht="22.5" customHeight="1">
      <c r="A202" s="5">
        <v>45916.0</v>
      </c>
      <c r="B202" s="6" t="s">
        <v>23</v>
      </c>
      <c r="C202" s="6" t="s">
        <v>9</v>
      </c>
      <c r="D202" s="7">
        <v>18.0</v>
      </c>
      <c r="E202" s="6" t="s">
        <v>10</v>
      </c>
      <c r="F202" s="6" t="s">
        <v>15</v>
      </c>
      <c r="G202" s="6" t="s">
        <v>35</v>
      </c>
      <c r="H202" s="8" t="str">
        <f t="shared" si="1"/>
        <v>09_septiembre</v>
      </c>
      <c r="I202" s="15" t="s">
        <v>16</v>
      </c>
      <c r="J202" s="10" t="str">
        <f t="shared" si="2"/>
        <v>2_martes</v>
      </c>
    </row>
    <row r="203" ht="22.5" customHeight="1">
      <c r="A203" s="11">
        <v>45917.0</v>
      </c>
      <c r="B203" s="12" t="s">
        <v>17</v>
      </c>
      <c r="C203" s="12" t="s">
        <v>9</v>
      </c>
      <c r="D203" s="13">
        <v>10.0</v>
      </c>
      <c r="E203" s="12" t="s">
        <v>10</v>
      </c>
      <c r="F203" s="12" t="s">
        <v>11</v>
      </c>
      <c r="G203" s="12" t="s">
        <v>35</v>
      </c>
      <c r="H203" s="8" t="str">
        <f t="shared" si="1"/>
        <v>09_septiembre</v>
      </c>
      <c r="I203" s="14" t="s">
        <v>18</v>
      </c>
      <c r="J203" s="10" t="str">
        <f t="shared" si="2"/>
        <v>3_miércoles</v>
      </c>
    </row>
    <row r="204" ht="22.5" customHeight="1">
      <c r="A204" s="5">
        <v>45919.0</v>
      </c>
      <c r="B204" s="6" t="s">
        <v>14</v>
      </c>
      <c r="C204" s="6" t="s">
        <v>9</v>
      </c>
      <c r="D204" s="7">
        <v>22.0</v>
      </c>
      <c r="E204" s="6" t="s">
        <v>10</v>
      </c>
      <c r="F204" s="6" t="s">
        <v>11</v>
      </c>
      <c r="G204" s="6" t="s">
        <v>35</v>
      </c>
      <c r="H204" s="8" t="str">
        <f t="shared" si="1"/>
        <v>09_septiembre</v>
      </c>
      <c r="I204" s="15" t="s">
        <v>20</v>
      </c>
      <c r="J204" s="10" t="str">
        <f t="shared" si="2"/>
        <v>5_viernes</v>
      </c>
    </row>
    <row r="205" ht="22.5" customHeight="1">
      <c r="A205" s="11">
        <v>45921.0</v>
      </c>
      <c r="B205" s="12" t="s">
        <v>8</v>
      </c>
      <c r="C205" s="12" t="s">
        <v>9</v>
      </c>
      <c r="D205" s="13">
        <v>14.0</v>
      </c>
      <c r="E205" s="12" t="s">
        <v>10</v>
      </c>
      <c r="F205" s="12" t="s">
        <v>15</v>
      </c>
      <c r="G205" s="12" t="s">
        <v>35</v>
      </c>
      <c r="H205" s="8" t="str">
        <f t="shared" si="1"/>
        <v>09_septiembre</v>
      </c>
      <c r="I205" s="14" t="s">
        <v>13</v>
      </c>
      <c r="J205" s="10" t="str">
        <f t="shared" si="2"/>
        <v>7_domingo</v>
      </c>
    </row>
    <row r="206" ht="22.5" customHeight="1">
      <c r="A206" s="5">
        <v>45923.0</v>
      </c>
      <c r="B206" s="6" t="s">
        <v>19</v>
      </c>
      <c r="C206" s="6" t="s">
        <v>9</v>
      </c>
      <c r="D206" s="7">
        <v>7.0</v>
      </c>
      <c r="E206" s="6" t="s">
        <v>10</v>
      </c>
      <c r="F206" s="6" t="s">
        <v>11</v>
      </c>
      <c r="G206" s="6" t="s">
        <v>35</v>
      </c>
      <c r="H206" s="8" t="str">
        <f t="shared" si="1"/>
        <v>09_septiembre</v>
      </c>
      <c r="I206" s="15" t="s">
        <v>16</v>
      </c>
      <c r="J206" s="10" t="str">
        <f t="shared" si="2"/>
        <v>2_martes</v>
      </c>
    </row>
    <row r="207" ht="22.5" customHeight="1">
      <c r="A207" s="11">
        <v>45924.0</v>
      </c>
      <c r="B207" s="12" t="s">
        <v>8</v>
      </c>
      <c r="C207" s="12" t="s">
        <v>24</v>
      </c>
      <c r="D207" s="13">
        <v>14.0</v>
      </c>
      <c r="E207" s="12" t="s">
        <v>10</v>
      </c>
      <c r="F207" s="12" t="s">
        <v>11</v>
      </c>
      <c r="G207" s="12" t="s">
        <v>35</v>
      </c>
      <c r="H207" s="8" t="str">
        <f t="shared" si="1"/>
        <v>09_septiembre</v>
      </c>
      <c r="I207" s="14" t="s">
        <v>18</v>
      </c>
      <c r="J207" s="10" t="str">
        <f t="shared" si="2"/>
        <v>3_miércoles</v>
      </c>
    </row>
    <row r="208" ht="22.5" customHeight="1">
      <c r="A208" s="5">
        <v>45926.0</v>
      </c>
      <c r="B208" s="6" t="s">
        <v>26</v>
      </c>
      <c r="C208" s="6" t="s">
        <v>9</v>
      </c>
      <c r="D208" s="7">
        <v>24.0</v>
      </c>
      <c r="E208" s="6" t="s">
        <v>10</v>
      </c>
      <c r="F208" s="6" t="s">
        <v>15</v>
      </c>
      <c r="G208" s="6" t="s">
        <v>35</v>
      </c>
      <c r="H208" s="8" t="str">
        <f t="shared" si="1"/>
        <v>09_septiembre</v>
      </c>
      <c r="I208" s="15" t="s">
        <v>20</v>
      </c>
      <c r="J208" s="10" t="str">
        <f t="shared" si="2"/>
        <v>5_viernes</v>
      </c>
    </row>
    <row r="209" ht="22.5" customHeight="1">
      <c r="A209" s="11">
        <v>45928.0</v>
      </c>
      <c r="B209" s="12" t="s">
        <v>17</v>
      </c>
      <c r="C209" s="12" t="s">
        <v>9</v>
      </c>
      <c r="D209" s="13">
        <v>9.0</v>
      </c>
      <c r="E209" s="12" t="s">
        <v>10</v>
      </c>
      <c r="F209" s="12" t="s">
        <v>11</v>
      </c>
      <c r="G209" s="12" t="s">
        <v>35</v>
      </c>
      <c r="H209" s="8" t="str">
        <f t="shared" si="1"/>
        <v>09_septiembre</v>
      </c>
      <c r="I209" s="14" t="s">
        <v>13</v>
      </c>
      <c r="J209" s="10" t="str">
        <f t="shared" si="2"/>
        <v>7_domingo</v>
      </c>
    </row>
    <row r="210" ht="22.5" customHeight="1">
      <c r="A210" s="5">
        <v>45930.0</v>
      </c>
      <c r="B210" s="6" t="s">
        <v>8</v>
      </c>
      <c r="C210" s="6" t="s">
        <v>9</v>
      </c>
      <c r="D210" s="7">
        <v>14.0</v>
      </c>
      <c r="E210" s="6" t="s">
        <v>10</v>
      </c>
      <c r="F210" s="6" t="s">
        <v>11</v>
      </c>
      <c r="G210" s="6" t="s">
        <v>35</v>
      </c>
      <c r="H210" s="8" t="str">
        <f t="shared" si="1"/>
        <v>09_septiembre</v>
      </c>
      <c r="I210" s="15" t="s">
        <v>16</v>
      </c>
      <c r="J210" s="10" t="str">
        <f t="shared" si="2"/>
        <v>2_martes</v>
      </c>
    </row>
    <row r="211" ht="22.5" customHeight="1">
      <c r="A211" s="11">
        <v>45931.0</v>
      </c>
      <c r="B211" s="12" t="s">
        <v>14</v>
      </c>
      <c r="C211" s="12" t="s">
        <v>9</v>
      </c>
      <c r="D211" s="13">
        <v>21.0</v>
      </c>
      <c r="E211" s="12" t="s">
        <v>10</v>
      </c>
      <c r="F211" s="12" t="s">
        <v>15</v>
      </c>
      <c r="G211" s="12" t="s">
        <v>36</v>
      </c>
      <c r="H211" s="8" t="str">
        <f t="shared" si="1"/>
        <v>10_octubre</v>
      </c>
      <c r="I211" s="14" t="s">
        <v>18</v>
      </c>
      <c r="J211" s="10" t="str">
        <f t="shared" si="2"/>
        <v>3_miércoles</v>
      </c>
    </row>
    <row r="212" ht="22.5" customHeight="1">
      <c r="A212" s="5">
        <v>45933.0</v>
      </c>
      <c r="B212" s="6" t="s">
        <v>8</v>
      </c>
      <c r="C212" s="6" t="s">
        <v>21</v>
      </c>
      <c r="D212" s="7">
        <v>14.0</v>
      </c>
      <c r="E212" s="6" t="s">
        <v>10</v>
      </c>
      <c r="F212" s="6" t="s">
        <v>11</v>
      </c>
      <c r="G212" s="6" t="s">
        <v>36</v>
      </c>
      <c r="H212" s="8" t="str">
        <f t="shared" si="1"/>
        <v>10_octubre</v>
      </c>
      <c r="I212" s="15" t="s">
        <v>20</v>
      </c>
      <c r="J212" s="10" t="str">
        <f t="shared" si="2"/>
        <v>5_viernes</v>
      </c>
    </row>
    <row r="213" ht="22.5" customHeight="1">
      <c r="A213" s="11">
        <v>45935.0</v>
      </c>
      <c r="B213" s="12" t="s">
        <v>19</v>
      </c>
      <c r="C213" s="12" t="s">
        <v>9</v>
      </c>
      <c r="D213" s="13">
        <v>7.0</v>
      </c>
      <c r="E213" s="12" t="s">
        <v>10</v>
      </c>
      <c r="F213" s="12" t="s">
        <v>11</v>
      </c>
      <c r="G213" s="12" t="s">
        <v>36</v>
      </c>
      <c r="H213" s="8" t="str">
        <f t="shared" si="1"/>
        <v>10_octubre</v>
      </c>
      <c r="I213" s="14" t="s">
        <v>13</v>
      </c>
      <c r="J213" s="10" t="str">
        <f t="shared" si="2"/>
        <v>7_domingo</v>
      </c>
    </row>
    <row r="214" ht="22.5" customHeight="1">
      <c r="A214" s="5">
        <v>45937.0</v>
      </c>
      <c r="B214" s="6" t="s">
        <v>17</v>
      </c>
      <c r="C214" s="6" t="s">
        <v>9</v>
      </c>
      <c r="D214" s="7">
        <v>11.0</v>
      </c>
      <c r="E214" s="6" t="s">
        <v>10</v>
      </c>
      <c r="F214" s="6" t="s">
        <v>15</v>
      </c>
      <c r="G214" s="6" t="s">
        <v>36</v>
      </c>
      <c r="H214" s="8" t="str">
        <f t="shared" si="1"/>
        <v>10_octubre</v>
      </c>
      <c r="I214" s="15" t="s">
        <v>16</v>
      </c>
      <c r="J214" s="10" t="str">
        <f t="shared" si="2"/>
        <v>2_martes</v>
      </c>
    </row>
    <row r="215" ht="22.5" customHeight="1">
      <c r="A215" s="11">
        <v>45938.0</v>
      </c>
      <c r="B215" s="12" t="s">
        <v>8</v>
      </c>
      <c r="C215" s="12" t="s">
        <v>9</v>
      </c>
      <c r="D215" s="13">
        <v>14.0</v>
      </c>
      <c r="E215" s="12" t="s">
        <v>10</v>
      </c>
      <c r="F215" s="12" t="s">
        <v>11</v>
      </c>
      <c r="G215" s="12" t="s">
        <v>36</v>
      </c>
      <c r="H215" s="8" t="str">
        <f t="shared" si="1"/>
        <v>10_octubre</v>
      </c>
      <c r="I215" s="14" t="s">
        <v>18</v>
      </c>
      <c r="J215" s="10" t="str">
        <f t="shared" si="2"/>
        <v>3_miércoles</v>
      </c>
    </row>
    <row r="216" ht="22.5" customHeight="1">
      <c r="A216" s="5">
        <v>45940.0</v>
      </c>
      <c r="B216" s="6" t="s">
        <v>8</v>
      </c>
      <c r="C216" s="6" t="s">
        <v>9</v>
      </c>
      <c r="D216" s="7">
        <v>15.0</v>
      </c>
      <c r="E216" s="6" t="s">
        <v>10</v>
      </c>
      <c r="F216" s="6" t="s">
        <v>11</v>
      </c>
      <c r="G216" s="6" t="s">
        <v>36</v>
      </c>
      <c r="H216" s="8" t="str">
        <f t="shared" si="1"/>
        <v>10_octubre</v>
      </c>
      <c r="I216" s="15" t="s">
        <v>20</v>
      </c>
      <c r="J216" s="10" t="str">
        <f t="shared" si="2"/>
        <v>5_viernes</v>
      </c>
    </row>
    <row r="217" ht="22.5" customHeight="1">
      <c r="A217" s="11">
        <v>45942.0</v>
      </c>
      <c r="B217" s="12" t="s">
        <v>23</v>
      </c>
      <c r="C217" s="12" t="s">
        <v>9</v>
      </c>
      <c r="D217" s="13">
        <v>20.0</v>
      </c>
      <c r="E217" s="12" t="s">
        <v>10</v>
      </c>
      <c r="F217" s="12" t="s">
        <v>15</v>
      </c>
      <c r="G217" s="12" t="s">
        <v>36</v>
      </c>
      <c r="H217" s="8" t="str">
        <f t="shared" si="1"/>
        <v>10_octubre</v>
      </c>
      <c r="I217" s="14" t="s">
        <v>13</v>
      </c>
      <c r="J217" s="10" t="str">
        <f t="shared" si="2"/>
        <v>7_domingo</v>
      </c>
    </row>
    <row r="218" ht="22.5" customHeight="1">
      <c r="A218" s="5">
        <v>45944.0</v>
      </c>
      <c r="B218" s="6" t="s">
        <v>17</v>
      </c>
      <c r="C218" s="6" t="s">
        <v>24</v>
      </c>
      <c r="D218" s="7">
        <v>10.0</v>
      </c>
      <c r="E218" s="6" t="s">
        <v>10</v>
      </c>
      <c r="F218" s="6" t="s">
        <v>11</v>
      </c>
      <c r="G218" s="6" t="s">
        <v>36</v>
      </c>
      <c r="H218" s="8" t="str">
        <f t="shared" si="1"/>
        <v>10_octubre</v>
      </c>
      <c r="I218" s="15" t="s">
        <v>16</v>
      </c>
      <c r="J218" s="10" t="str">
        <f t="shared" si="2"/>
        <v>2_martes</v>
      </c>
    </row>
    <row r="219" ht="22.5" customHeight="1">
      <c r="A219" s="11">
        <v>45945.0</v>
      </c>
      <c r="B219" s="12" t="s">
        <v>14</v>
      </c>
      <c r="C219" s="12" t="s">
        <v>9</v>
      </c>
      <c r="D219" s="13">
        <v>23.0</v>
      </c>
      <c r="E219" s="12" t="s">
        <v>10</v>
      </c>
      <c r="F219" s="12" t="s">
        <v>11</v>
      </c>
      <c r="G219" s="12" t="s">
        <v>36</v>
      </c>
      <c r="H219" s="8" t="str">
        <f t="shared" si="1"/>
        <v>10_octubre</v>
      </c>
      <c r="I219" s="14" t="s">
        <v>18</v>
      </c>
      <c r="J219" s="10" t="str">
        <f t="shared" si="2"/>
        <v>3_miércoles</v>
      </c>
    </row>
    <row r="220" ht="22.5" customHeight="1">
      <c r="A220" s="5">
        <v>45947.0</v>
      </c>
      <c r="B220" s="6" t="s">
        <v>8</v>
      </c>
      <c r="C220" s="6" t="s">
        <v>9</v>
      </c>
      <c r="D220" s="7">
        <v>14.0</v>
      </c>
      <c r="E220" s="6" t="s">
        <v>10</v>
      </c>
      <c r="F220" s="6" t="s">
        <v>15</v>
      </c>
      <c r="G220" s="6" t="s">
        <v>36</v>
      </c>
      <c r="H220" s="8" t="str">
        <f t="shared" si="1"/>
        <v>10_octubre</v>
      </c>
      <c r="I220" s="15" t="s">
        <v>20</v>
      </c>
      <c r="J220" s="10" t="str">
        <f t="shared" si="2"/>
        <v>5_viernes</v>
      </c>
    </row>
    <row r="221" ht="22.5" customHeight="1">
      <c r="A221" s="11">
        <v>45949.0</v>
      </c>
      <c r="B221" s="12" t="s">
        <v>19</v>
      </c>
      <c r="C221" s="12" t="s">
        <v>9</v>
      </c>
      <c r="D221" s="13">
        <v>7.0</v>
      </c>
      <c r="E221" s="12" t="s">
        <v>10</v>
      </c>
      <c r="F221" s="12" t="s">
        <v>11</v>
      </c>
      <c r="G221" s="12" t="s">
        <v>36</v>
      </c>
      <c r="H221" s="8" t="str">
        <f t="shared" si="1"/>
        <v>10_octubre</v>
      </c>
      <c r="I221" s="14" t="s">
        <v>13</v>
      </c>
      <c r="J221" s="10" t="str">
        <f t="shared" si="2"/>
        <v>7_domingo</v>
      </c>
    </row>
    <row r="222" ht="22.5" customHeight="1">
      <c r="A222" s="5">
        <v>45951.0</v>
      </c>
      <c r="B222" s="6" t="s">
        <v>8</v>
      </c>
      <c r="C222" s="6" t="s">
        <v>9</v>
      </c>
      <c r="D222" s="7">
        <v>14.0</v>
      </c>
      <c r="E222" s="6" t="s">
        <v>10</v>
      </c>
      <c r="F222" s="6" t="s">
        <v>11</v>
      </c>
      <c r="G222" s="6" t="s">
        <v>36</v>
      </c>
      <c r="H222" s="8" t="str">
        <f t="shared" si="1"/>
        <v>10_octubre</v>
      </c>
      <c r="I222" s="15" t="s">
        <v>16</v>
      </c>
      <c r="J222" s="10" t="str">
        <f t="shared" si="2"/>
        <v>2_martes</v>
      </c>
    </row>
    <row r="223" ht="22.5" customHeight="1">
      <c r="A223" s="11">
        <v>45952.0</v>
      </c>
      <c r="B223" s="12" t="s">
        <v>17</v>
      </c>
      <c r="C223" s="12" t="s">
        <v>9</v>
      </c>
      <c r="D223" s="13">
        <v>9.0</v>
      </c>
      <c r="E223" s="12" t="s">
        <v>10</v>
      </c>
      <c r="F223" s="12" t="s">
        <v>15</v>
      </c>
      <c r="G223" s="12" t="s">
        <v>36</v>
      </c>
      <c r="H223" s="8" t="str">
        <f t="shared" si="1"/>
        <v>10_octubre</v>
      </c>
      <c r="I223" s="14" t="s">
        <v>18</v>
      </c>
      <c r="J223" s="10" t="str">
        <f t="shared" si="2"/>
        <v>3_miércoles</v>
      </c>
    </row>
    <row r="224" ht="22.5" customHeight="1">
      <c r="A224" s="5">
        <v>45954.0</v>
      </c>
      <c r="B224" s="6" t="s">
        <v>26</v>
      </c>
      <c r="C224" s="6" t="s">
        <v>21</v>
      </c>
      <c r="D224" s="7">
        <v>25.0</v>
      </c>
      <c r="E224" s="6" t="s">
        <v>10</v>
      </c>
      <c r="F224" s="6" t="s">
        <v>11</v>
      </c>
      <c r="G224" s="6" t="s">
        <v>36</v>
      </c>
      <c r="H224" s="8" t="str">
        <f t="shared" si="1"/>
        <v>10_octubre</v>
      </c>
      <c r="I224" s="15" t="s">
        <v>20</v>
      </c>
      <c r="J224" s="10" t="str">
        <f t="shared" si="2"/>
        <v>5_viernes</v>
      </c>
    </row>
    <row r="225" ht="22.5" customHeight="1">
      <c r="A225" s="11">
        <v>45956.0</v>
      </c>
      <c r="B225" s="12" t="s">
        <v>8</v>
      </c>
      <c r="C225" s="12" t="s">
        <v>9</v>
      </c>
      <c r="D225" s="13">
        <v>14.0</v>
      </c>
      <c r="E225" s="12" t="s">
        <v>10</v>
      </c>
      <c r="F225" s="12" t="s">
        <v>11</v>
      </c>
      <c r="G225" s="12" t="s">
        <v>36</v>
      </c>
      <c r="H225" s="8" t="str">
        <f t="shared" si="1"/>
        <v>10_octubre</v>
      </c>
      <c r="I225" s="14" t="s">
        <v>13</v>
      </c>
      <c r="J225" s="10" t="str">
        <f t="shared" si="2"/>
        <v>7_domingo</v>
      </c>
    </row>
    <row r="226" ht="22.5" customHeight="1">
      <c r="A226" s="5">
        <v>45958.0</v>
      </c>
      <c r="B226" s="6" t="s">
        <v>8</v>
      </c>
      <c r="C226" s="6" t="s">
        <v>24</v>
      </c>
      <c r="D226" s="7">
        <v>16.0</v>
      </c>
      <c r="E226" s="6" t="s">
        <v>10</v>
      </c>
      <c r="F226" s="6" t="s">
        <v>15</v>
      </c>
      <c r="G226" s="6" t="s">
        <v>36</v>
      </c>
      <c r="H226" s="8" t="str">
        <f t="shared" si="1"/>
        <v>10_octubre</v>
      </c>
      <c r="I226" s="15" t="s">
        <v>16</v>
      </c>
      <c r="J226" s="10" t="str">
        <f t="shared" si="2"/>
        <v>2_martes</v>
      </c>
    </row>
    <row r="227" ht="22.5" customHeight="1">
      <c r="A227" s="11">
        <v>45959.0</v>
      </c>
      <c r="B227" s="12" t="s">
        <v>14</v>
      </c>
      <c r="C227" s="12" t="s">
        <v>9</v>
      </c>
      <c r="D227" s="13">
        <v>21.0</v>
      </c>
      <c r="E227" s="12" t="s">
        <v>10</v>
      </c>
      <c r="F227" s="12" t="s">
        <v>11</v>
      </c>
      <c r="G227" s="12" t="s">
        <v>36</v>
      </c>
      <c r="H227" s="8" t="str">
        <f t="shared" si="1"/>
        <v>10_octubre</v>
      </c>
      <c r="I227" s="14" t="s">
        <v>18</v>
      </c>
      <c r="J227" s="10" t="str">
        <f t="shared" si="2"/>
        <v>3_miércoles</v>
      </c>
    </row>
    <row r="228" ht="22.5" customHeight="1">
      <c r="A228" s="5">
        <v>45961.0</v>
      </c>
      <c r="B228" s="6" t="s">
        <v>17</v>
      </c>
      <c r="C228" s="6" t="s">
        <v>9</v>
      </c>
      <c r="D228" s="7">
        <v>10.0</v>
      </c>
      <c r="E228" s="6" t="s">
        <v>10</v>
      </c>
      <c r="F228" s="6" t="s">
        <v>11</v>
      </c>
      <c r="G228" s="6" t="s">
        <v>36</v>
      </c>
      <c r="H228" s="8" t="str">
        <f t="shared" si="1"/>
        <v>10_octubre</v>
      </c>
      <c r="I228" s="15" t="s">
        <v>20</v>
      </c>
      <c r="J228" s="10" t="str">
        <f t="shared" si="2"/>
        <v>5_viernes</v>
      </c>
    </row>
    <row r="229" ht="22.5" customHeight="1">
      <c r="A229" s="11">
        <v>45963.0</v>
      </c>
      <c r="B229" s="12" t="s">
        <v>8</v>
      </c>
      <c r="C229" s="12" t="s">
        <v>9</v>
      </c>
      <c r="D229" s="13">
        <v>14.0</v>
      </c>
      <c r="E229" s="12" t="s">
        <v>10</v>
      </c>
      <c r="F229" s="12" t="s">
        <v>15</v>
      </c>
      <c r="G229" s="12" t="s">
        <v>37</v>
      </c>
      <c r="H229" s="8" t="str">
        <f t="shared" si="1"/>
        <v>11_noviembre</v>
      </c>
      <c r="I229" s="14" t="s">
        <v>13</v>
      </c>
      <c r="J229" s="10" t="str">
        <f t="shared" si="2"/>
        <v>7_domingo</v>
      </c>
    </row>
    <row r="230" ht="22.5" customHeight="1">
      <c r="A230" s="5">
        <v>45965.0</v>
      </c>
      <c r="B230" s="6" t="s">
        <v>19</v>
      </c>
      <c r="C230" s="6" t="s">
        <v>9</v>
      </c>
      <c r="D230" s="7">
        <v>7.0</v>
      </c>
      <c r="E230" s="6" t="s">
        <v>10</v>
      </c>
      <c r="F230" s="6" t="s">
        <v>11</v>
      </c>
      <c r="G230" s="6" t="s">
        <v>37</v>
      </c>
      <c r="H230" s="8" t="str">
        <f t="shared" si="1"/>
        <v>11_noviembre</v>
      </c>
      <c r="I230" s="15" t="s">
        <v>16</v>
      </c>
      <c r="J230" s="10" t="str">
        <f t="shared" si="2"/>
        <v>2_martes</v>
      </c>
    </row>
    <row r="231" ht="22.5" customHeight="1">
      <c r="A231" s="11">
        <v>45966.0</v>
      </c>
      <c r="B231" s="12" t="s">
        <v>8</v>
      </c>
      <c r="C231" s="12" t="s">
        <v>21</v>
      </c>
      <c r="D231" s="13">
        <v>14.0</v>
      </c>
      <c r="E231" s="12" t="s">
        <v>10</v>
      </c>
      <c r="F231" s="12" t="s">
        <v>11</v>
      </c>
      <c r="G231" s="12" t="s">
        <v>37</v>
      </c>
      <c r="H231" s="8" t="str">
        <f t="shared" si="1"/>
        <v>11_noviembre</v>
      </c>
      <c r="I231" s="14" t="s">
        <v>18</v>
      </c>
      <c r="J231" s="10" t="str">
        <f t="shared" si="2"/>
        <v>3_miércoles</v>
      </c>
    </row>
    <row r="232" ht="22.5" customHeight="1">
      <c r="A232" s="5">
        <v>45968.0</v>
      </c>
      <c r="B232" s="6" t="s">
        <v>17</v>
      </c>
      <c r="C232" s="6" t="s">
        <v>9</v>
      </c>
      <c r="D232" s="7">
        <v>12.0</v>
      </c>
      <c r="E232" s="6" t="s">
        <v>10</v>
      </c>
      <c r="F232" s="6" t="s">
        <v>15</v>
      </c>
      <c r="G232" s="6" t="s">
        <v>37</v>
      </c>
      <c r="H232" s="8" t="str">
        <f t="shared" si="1"/>
        <v>11_noviembre</v>
      </c>
      <c r="I232" s="15" t="s">
        <v>20</v>
      </c>
      <c r="J232" s="10" t="str">
        <f t="shared" si="2"/>
        <v>5_viernes</v>
      </c>
    </row>
    <row r="233" ht="22.5" customHeight="1">
      <c r="A233" s="11">
        <v>45970.0</v>
      </c>
      <c r="B233" s="12" t="s">
        <v>14</v>
      </c>
      <c r="C233" s="12" t="s">
        <v>9</v>
      </c>
      <c r="D233" s="13">
        <v>22.0</v>
      </c>
      <c r="E233" s="12" t="s">
        <v>10</v>
      </c>
      <c r="F233" s="12" t="s">
        <v>11</v>
      </c>
      <c r="G233" s="12" t="s">
        <v>37</v>
      </c>
      <c r="H233" s="8" t="str">
        <f t="shared" si="1"/>
        <v>11_noviembre</v>
      </c>
      <c r="I233" s="14" t="s">
        <v>13</v>
      </c>
      <c r="J233" s="10" t="str">
        <f t="shared" si="2"/>
        <v>7_domingo</v>
      </c>
    </row>
    <row r="234" ht="22.5" customHeight="1">
      <c r="A234" s="5">
        <v>45972.0</v>
      </c>
      <c r="B234" s="6" t="s">
        <v>8</v>
      </c>
      <c r="C234" s="6" t="s">
        <v>9</v>
      </c>
      <c r="D234" s="7">
        <v>14.0</v>
      </c>
      <c r="E234" s="6" t="s">
        <v>10</v>
      </c>
      <c r="F234" s="6" t="s">
        <v>11</v>
      </c>
      <c r="G234" s="6" t="s">
        <v>37</v>
      </c>
      <c r="H234" s="8" t="str">
        <f t="shared" si="1"/>
        <v>11_noviembre</v>
      </c>
      <c r="I234" s="15" t="s">
        <v>16</v>
      </c>
      <c r="J234" s="10" t="str">
        <f t="shared" si="2"/>
        <v>2_martes</v>
      </c>
    </row>
    <row r="235" ht="22.5" customHeight="1">
      <c r="A235" s="11">
        <v>45973.0</v>
      </c>
      <c r="B235" s="12" t="s">
        <v>23</v>
      </c>
      <c r="C235" s="12" t="s">
        <v>9</v>
      </c>
      <c r="D235" s="13">
        <v>19.0</v>
      </c>
      <c r="E235" s="12" t="s">
        <v>10</v>
      </c>
      <c r="F235" s="12" t="s">
        <v>15</v>
      </c>
      <c r="G235" s="12" t="s">
        <v>37</v>
      </c>
      <c r="H235" s="8" t="str">
        <f t="shared" si="1"/>
        <v>11_noviembre</v>
      </c>
      <c r="I235" s="14" t="s">
        <v>18</v>
      </c>
      <c r="J235" s="10" t="str">
        <f t="shared" si="2"/>
        <v>3_miércoles</v>
      </c>
    </row>
    <row r="236" ht="22.5" customHeight="1">
      <c r="A236" s="5">
        <v>45975.0</v>
      </c>
      <c r="B236" s="6" t="s">
        <v>17</v>
      </c>
      <c r="C236" s="6" t="s">
        <v>24</v>
      </c>
      <c r="D236" s="7">
        <v>9.0</v>
      </c>
      <c r="E236" s="6" t="s">
        <v>10</v>
      </c>
      <c r="F236" s="6" t="s">
        <v>11</v>
      </c>
      <c r="G236" s="6" t="s">
        <v>37</v>
      </c>
      <c r="H236" s="8" t="str">
        <f t="shared" si="1"/>
        <v>11_noviembre</v>
      </c>
      <c r="I236" s="15" t="s">
        <v>20</v>
      </c>
      <c r="J236" s="10" t="str">
        <f t="shared" si="2"/>
        <v>5_viernes</v>
      </c>
    </row>
    <row r="237" ht="22.5" customHeight="1">
      <c r="A237" s="11">
        <v>45977.0</v>
      </c>
      <c r="B237" s="12" t="s">
        <v>8</v>
      </c>
      <c r="C237" s="12" t="s">
        <v>9</v>
      </c>
      <c r="D237" s="13">
        <v>14.0</v>
      </c>
      <c r="E237" s="12" t="s">
        <v>10</v>
      </c>
      <c r="F237" s="12" t="s">
        <v>11</v>
      </c>
      <c r="G237" s="12" t="s">
        <v>37</v>
      </c>
      <c r="H237" s="8" t="str">
        <f t="shared" si="1"/>
        <v>11_noviembre</v>
      </c>
      <c r="I237" s="14" t="s">
        <v>13</v>
      </c>
      <c r="J237" s="10" t="str">
        <f t="shared" si="2"/>
        <v>7_domingo</v>
      </c>
    </row>
    <row r="238" ht="22.5" customHeight="1">
      <c r="A238" s="5">
        <v>45979.0</v>
      </c>
      <c r="B238" s="6" t="s">
        <v>19</v>
      </c>
      <c r="C238" s="6" t="s">
        <v>9</v>
      </c>
      <c r="D238" s="7">
        <v>7.0</v>
      </c>
      <c r="E238" s="6" t="s">
        <v>10</v>
      </c>
      <c r="F238" s="6" t="s">
        <v>15</v>
      </c>
      <c r="G238" s="6" t="s">
        <v>37</v>
      </c>
      <c r="H238" s="8" t="str">
        <f t="shared" si="1"/>
        <v>11_noviembre</v>
      </c>
      <c r="I238" s="15" t="s">
        <v>16</v>
      </c>
      <c r="J238" s="10" t="str">
        <f t="shared" si="2"/>
        <v>2_martes</v>
      </c>
    </row>
    <row r="239" ht="22.5" customHeight="1">
      <c r="A239" s="11">
        <v>45980.0</v>
      </c>
      <c r="B239" s="12" t="s">
        <v>14</v>
      </c>
      <c r="C239" s="12" t="s">
        <v>9</v>
      </c>
      <c r="D239" s="13">
        <v>24.0</v>
      </c>
      <c r="E239" s="12" t="s">
        <v>22</v>
      </c>
      <c r="F239" s="12" t="s">
        <v>11</v>
      </c>
      <c r="G239" s="12" t="s">
        <v>37</v>
      </c>
      <c r="H239" s="8" t="str">
        <f t="shared" si="1"/>
        <v>11_noviembre</v>
      </c>
      <c r="I239" s="14" t="s">
        <v>18</v>
      </c>
      <c r="J239" s="10" t="str">
        <f t="shared" si="2"/>
        <v>3_miércoles</v>
      </c>
    </row>
    <row r="240" ht="22.5" customHeight="1">
      <c r="A240" s="5">
        <v>45982.0</v>
      </c>
      <c r="B240" s="6" t="s">
        <v>8</v>
      </c>
      <c r="C240" s="6" t="s">
        <v>9</v>
      </c>
      <c r="D240" s="7">
        <v>14.0</v>
      </c>
      <c r="E240" s="6" t="s">
        <v>10</v>
      </c>
      <c r="F240" s="6" t="s">
        <v>11</v>
      </c>
      <c r="G240" s="6" t="s">
        <v>37</v>
      </c>
      <c r="H240" s="8" t="str">
        <f t="shared" si="1"/>
        <v>11_noviembre</v>
      </c>
      <c r="I240" s="15" t="s">
        <v>20</v>
      </c>
      <c r="J240" s="10" t="str">
        <f t="shared" si="2"/>
        <v>5_viernes</v>
      </c>
    </row>
    <row r="241" ht="22.5" customHeight="1">
      <c r="A241" s="11">
        <v>45984.0</v>
      </c>
      <c r="B241" s="12" t="s">
        <v>17</v>
      </c>
      <c r="C241" s="12" t="s">
        <v>9</v>
      </c>
      <c r="D241" s="13">
        <v>10.0</v>
      </c>
      <c r="E241" s="12" t="s">
        <v>10</v>
      </c>
      <c r="F241" s="12" t="s">
        <v>15</v>
      </c>
      <c r="G241" s="12" t="s">
        <v>37</v>
      </c>
      <c r="H241" s="8" t="str">
        <f t="shared" si="1"/>
        <v>11_noviembre</v>
      </c>
      <c r="I241" s="14" t="s">
        <v>13</v>
      </c>
      <c r="J241" s="10" t="str">
        <f t="shared" si="2"/>
        <v>7_domingo</v>
      </c>
    </row>
    <row r="242" ht="22.5" customHeight="1">
      <c r="A242" s="5">
        <v>45986.0</v>
      </c>
      <c r="B242" s="6" t="s">
        <v>26</v>
      </c>
      <c r="C242" s="6" t="s">
        <v>9</v>
      </c>
      <c r="D242" s="7">
        <v>26.0</v>
      </c>
      <c r="E242" s="6" t="s">
        <v>10</v>
      </c>
      <c r="F242" s="6" t="s">
        <v>11</v>
      </c>
      <c r="G242" s="6" t="s">
        <v>37</v>
      </c>
      <c r="H242" s="8" t="str">
        <f t="shared" si="1"/>
        <v>11_noviembre</v>
      </c>
      <c r="I242" s="15" t="s">
        <v>16</v>
      </c>
      <c r="J242" s="10" t="str">
        <f t="shared" si="2"/>
        <v>2_martes</v>
      </c>
    </row>
    <row r="243" ht="22.5" customHeight="1">
      <c r="A243" s="11">
        <v>45987.0</v>
      </c>
      <c r="B243" s="12" t="s">
        <v>8</v>
      </c>
      <c r="C243" s="12" t="s">
        <v>24</v>
      </c>
      <c r="D243" s="13">
        <v>14.0</v>
      </c>
      <c r="E243" s="12" t="s">
        <v>10</v>
      </c>
      <c r="F243" s="12" t="s">
        <v>11</v>
      </c>
      <c r="G243" s="12" t="s">
        <v>37</v>
      </c>
      <c r="H243" s="8" t="str">
        <f t="shared" si="1"/>
        <v>11_noviembre</v>
      </c>
      <c r="I243" s="14" t="s">
        <v>18</v>
      </c>
      <c r="J243" s="10" t="str">
        <f t="shared" si="2"/>
        <v>3_miércoles</v>
      </c>
    </row>
    <row r="244" ht="22.5" customHeight="1">
      <c r="A244" s="5">
        <v>45989.0</v>
      </c>
      <c r="B244" s="6" t="s">
        <v>8</v>
      </c>
      <c r="C244" s="6" t="s">
        <v>9</v>
      </c>
      <c r="D244" s="7">
        <v>15.0</v>
      </c>
      <c r="E244" s="6" t="s">
        <v>10</v>
      </c>
      <c r="F244" s="6" t="s">
        <v>15</v>
      </c>
      <c r="G244" s="6" t="s">
        <v>37</v>
      </c>
      <c r="H244" s="8" t="str">
        <f t="shared" si="1"/>
        <v>11_noviembre</v>
      </c>
      <c r="I244" s="15" t="s">
        <v>20</v>
      </c>
      <c r="J244" s="10" t="str">
        <f t="shared" si="2"/>
        <v>5_viernes</v>
      </c>
    </row>
    <row r="245" ht="22.5" customHeight="1">
      <c r="A245" s="11">
        <v>45991.0</v>
      </c>
      <c r="B245" s="12" t="s">
        <v>17</v>
      </c>
      <c r="C245" s="12" t="s">
        <v>9</v>
      </c>
      <c r="D245" s="13">
        <v>11.0</v>
      </c>
      <c r="E245" s="12" t="s">
        <v>10</v>
      </c>
      <c r="F245" s="12" t="s">
        <v>11</v>
      </c>
      <c r="G245" s="12" t="s">
        <v>37</v>
      </c>
      <c r="H245" s="8" t="str">
        <f t="shared" si="1"/>
        <v>11_noviembre</v>
      </c>
      <c r="I245" s="14" t="s">
        <v>13</v>
      </c>
      <c r="J245" s="10" t="str">
        <f t="shared" si="2"/>
        <v>7_domingo</v>
      </c>
    </row>
    <row r="246" ht="22.5" customHeight="1">
      <c r="A246" s="5">
        <v>45993.0</v>
      </c>
      <c r="B246" s="6" t="s">
        <v>14</v>
      </c>
      <c r="C246" s="6" t="s">
        <v>9</v>
      </c>
      <c r="D246" s="7">
        <v>21.0</v>
      </c>
      <c r="E246" s="6" t="s">
        <v>10</v>
      </c>
      <c r="F246" s="6" t="s">
        <v>11</v>
      </c>
      <c r="G246" s="6" t="s">
        <v>38</v>
      </c>
      <c r="H246" s="8" t="str">
        <f t="shared" si="1"/>
        <v>12_diciembre</v>
      </c>
      <c r="I246" s="15" t="s">
        <v>16</v>
      </c>
      <c r="J246" s="10" t="str">
        <f t="shared" si="2"/>
        <v>2_martes</v>
      </c>
    </row>
    <row r="247" ht="22.5" customHeight="1">
      <c r="A247" s="11">
        <v>45994.0</v>
      </c>
      <c r="B247" s="12" t="s">
        <v>8</v>
      </c>
      <c r="C247" s="12" t="s">
        <v>9</v>
      </c>
      <c r="D247" s="13">
        <v>14.0</v>
      </c>
      <c r="E247" s="12" t="s">
        <v>10</v>
      </c>
      <c r="F247" s="12" t="s">
        <v>15</v>
      </c>
      <c r="G247" s="12" t="s">
        <v>38</v>
      </c>
      <c r="H247" s="8" t="str">
        <f t="shared" si="1"/>
        <v>12_diciembre</v>
      </c>
      <c r="I247" s="14" t="s">
        <v>18</v>
      </c>
      <c r="J247" s="10" t="str">
        <f t="shared" si="2"/>
        <v>3_miércoles</v>
      </c>
    </row>
    <row r="248" ht="22.5" customHeight="1">
      <c r="A248" s="5">
        <v>45996.0</v>
      </c>
      <c r="B248" s="6" t="s">
        <v>19</v>
      </c>
      <c r="C248" s="6" t="s">
        <v>9</v>
      </c>
      <c r="D248" s="7">
        <v>7.0</v>
      </c>
      <c r="E248" s="6" t="s">
        <v>10</v>
      </c>
      <c r="F248" s="6" t="s">
        <v>11</v>
      </c>
      <c r="G248" s="6" t="s">
        <v>38</v>
      </c>
      <c r="H248" s="8" t="str">
        <f t="shared" si="1"/>
        <v>12_diciembre</v>
      </c>
      <c r="I248" s="15" t="s">
        <v>20</v>
      </c>
      <c r="J248" s="10" t="str">
        <f t="shared" si="2"/>
        <v>5_viernes</v>
      </c>
    </row>
    <row r="249" ht="22.5" customHeight="1">
      <c r="A249" s="11">
        <v>45998.0</v>
      </c>
      <c r="B249" s="12" t="s">
        <v>17</v>
      </c>
      <c r="C249" s="12" t="s">
        <v>9</v>
      </c>
      <c r="D249" s="13">
        <v>10.0</v>
      </c>
      <c r="E249" s="12" t="s">
        <v>10</v>
      </c>
      <c r="F249" s="12" t="s">
        <v>11</v>
      </c>
      <c r="G249" s="12" t="s">
        <v>38</v>
      </c>
      <c r="H249" s="8" t="str">
        <f t="shared" si="1"/>
        <v>12_diciembre</v>
      </c>
      <c r="I249" s="14" t="s">
        <v>13</v>
      </c>
      <c r="J249" s="10" t="str">
        <f t="shared" si="2"/>
        <v>7_domingo</v>
      </c>
    </row>
    <row r="250" ht="22.5" customHeight="1">
      <c r="A250" s="5">
        <v>46000.0</v>
      </c>
      <c r="B250" s="6" t="s">
        <v>8</v>
      </c>
      <c r="C250" s="6" t="s">
        <v>21</v>
      </c>
      <c r="D250" s="7">
        <v>14.0</v>
      </c>
      <c r="E250" s="6" t="s">
        <v>10</v>
      </c>
      <c r="F250" s="6" t="s">
        <v>15</v>
      </c>
      <c r="G250" s="6" t="s">
        <v>38</v>
      </c>
      <c r="H250" s="8" t="str">
        <f t="shared" si="1"/>
        <v>12_diciembre</v>
      </c>
      <c r="I250" s="15" t="s">
        <v>16</v>
      </c>
      <c r="J250" s="10" t="str">
        <f t="shared" si="2"/>
        <v>2_martes</v>
      </c>
    </row>
    <row r="251" ht="22.5" customHeight="1">
      <c r="A251" s="11">
        <v>46001.0</v>
      </c>
      <c r="B251" s="12" t="s">
        <v>8</v>
      </c>
      <c r="C251" s="12" t="s">
        <v>9</v>
      </c>
      <c r="D251" s="13">
        <v>14.0</v>
      </c>
      <c r="E251" s="12" t="s">
        <v>10</v>
      </c>
      <c r="F251" s="12" t="s">
        <v>11</v>
      </c>
      <c r="G251" s="12" t="s">
        <v>38</v>
      </c>
      <c r="H251" s="8" t="str">
        <f t="shared" si="1"/>
        <v>12_diciembre</v>
      </c>
      <c r="I251" s="14" t="s">
        <v>18</v>
      </c>
      <c r="J251" s="10" t="str">
        <f t="shared" si="2"/>
        <v>3_miércoles</v>
      </c>
    </row>
    <row r="252" ht="22.5" customHeight="1">
      <c r="A252" s="5">
        <v>46003.0</v>
      </c>
      <c r="B252" s="6" t="s">
        <v>23</v>
      </c>
      <c r="C252" s="6" t="s">
        <v>9</v>
      </c>
      <c r="D252" s="7">
        <v>18.0</v>
      </c>
      <c r="E252" s="6" t="s">
        <v>10</v>
      </c>
      <c r="F252" s="6" t="s">
        <v>11</v>
      </c>
      <c r="G252" s="6" t="s">
        <v>38</v>
      </c>
      <c r="H252" s="8" t="str">
        <f t="shared" si="1"/>
        <v>12_diciembre</v>
      </c>
      <c r="I252" s="15" t="s">
        <v>20</v>
      </c>
      <c r="J252" s="10" t="str">
        <f t="shared" si="2"/>
        <v>5_viernes</v>
      </c>
    </row>
    <row r="253" ht="22.5" customHeight="1">
      <c r="A253" s="11">
        <v>46005.0</v>
      </c>
      <c r="B253" s="12" t="s">
        <v>17</v>
      </c>
      <c r="C253" s="12" t="s">
        <v>24</v>
      </c>
      <c r="D253" s="13">
        <v>12.0</v>
      </c>
      <c r="E253" s="12" t="s">
        <v>10</v>
      </c>
      <c r="F253" s="12" t="s">
        <v>15</v>
      </c>
      <c r="G253" s="12" t="s">
        <v>38</v>
      </c>
      <c r="H253" s="8" t="str">
        <f t="shared" si="1"/>
        <v>12_diciembre</v>
      </c>
      <c r="I253" s="14" t="s">
        <v>13</v>
      </c>
      <c r="J253" s="10" t="str">
        <f t="shared" si="2"/>
        <v>7_domingo</v>
      </c>
    </row>
    <row r="254" ht="22.5" customHeight="1">
      <c r="A254" s="5">
        <v>46007.0</v>
      </c>
      <c r="B254" s="6" t="s">
        <v>14</v>
      </c>
      <c r="C254" s="6" t="s">
        <v>9</v>
      </c>
      <c r="D254" s="7">
        <v>23.0</v>
      </c>
      <c r="E254" s="6" t="s">
        <v>10</v>
      </c>
      <c r="F254" s="6" t="s">
        <v>11</v>
      </c>
      <c r="G254" s="6" t="s">
        <v>38</v>
      </c>
      <c r="H254" s="8" t="str">
        <f t="shared" si="1"/>
        <v>12_diciembre</v>
      </c>
      <c r="I254" s="15" t="s">
        <v>16</v>
      </c>
      <c r="J254" s="10" t="str">
        <f t="shared" si="2"/>
        <v>2_martes</v>
      </c>
    </row>
    <row r="255" ht="22.5" customHeight="1">
      <c r="A255" s="11">
        <v>46008.0</v>
      </c>
      <c r="B255" s="12" t="s">
        <v>8</v>
      </c>
      <c r="C255" s="12" t="s">
        <v>9</v>
      </c>
      <c r="D255" s="13">
        <v>14.0</v>
      </c>
      <c r="E255" s="12" t="s">
        <v>10</v>
      </c>
      <c r="F255" s="12" t="s">
        <v>11</v>
      </c>
      <c r="G255" s="12" t="s">
        <v>38</v>
      </c>
      <c r="H255" s="8" t="str">
        <f t="shared" si="1"/>
        <v>12_diciembre</v>
      </c>
      <c r="I255" s="14" t="s">
        <v>18</v>
      </c>
      <c r="J255" s="10" t="str">
        <f t="shared" si="2"/>
        <v>3_miércoles</v>
      </c>
    </row>
    <row r="256" ht="22.5" customHeight="1">
      <c r="A256" s="5">
        <v>46010.0</v>
      </c>
      <c r="B256" s="6" t="s">
        <v>19</v>
      </c>
      <c r="C256" s="6" t="s">
        <v>9</v>
      </c>
      <c r="D256" s="7">
        <v>7.0</v>
      </c>
      <c r="E256" s="6" t="s">
        <v>10</v>
      </c>
      <c r="F256" s="6" t="s">
        <v>15</v>
      </c>
      <c r="G256" s="6" t="s">
        <v>38</v>
      </c>
      <c r="H256" s="8" t="str">
        <f t="shared" si="1"/>
        <v>12_diciembre</v>
      </c>
      <c r="I256" s="15" t="s">
        <v>20</v>
      </c>
      <c r="J256" s="10" t="str">
        <f t="shared" si="2"/>
        <v>5_viernes</v>
      </c>
    </row>
    <row r="257" ht="22.5" customHeight="1">
      <c r="A257" s="11">
        <v>46012.0</v>
      </c>
      <c r="B257" s="12" t="s">
        <v>8</v>
      </c>
      <c r="C257" s="12" t="s">
        <v>9</v>
      </c>
      <c r="D257" s="13">
        <v>21.0</v>
      </c>
      <c r="E257" s="12" t="s">
        <v>10</v>
      </c>
      <c r="F257" s="12" t="s">
        <v>11</v>
      </c>
      <c r="G257" s="12" t="s">
        <v>38</v>
      </c>
      <c r="H257" s="8" t="str">
        <f t="shared" si="1"/>
        <v>12_diciembre</v>
      </c>
      <c r="I257" s="14" t="s">
        <v>13</v>
      </c>
      <c r="J257" s="10" t="str">
        <f t="shared" si="2"/>
        <v>7_domingo</v>
      </c>
    </row>
    <row r="258" ht="22.5" customHeight="1">
      <c r="A258" s="5">
        <v>46014.0</v>
      </c>
      <c r="B258" s="6" t="s">
        <v>17</v>
      </c>
      <c r="C258" s="6" t="s">
        <v>9</v>
      </c>
      <c r="D258" s="7">
        <v>14.0</v>
      </c>
      <c r="E258" s="6" t="s">
        <v>10</v>
      </c>
      <c r="F258" s="6" t="s">
        <v>11</v>
      </c>
      <c r="G258" s="6" t="s">
        <v>38</v>
      </c>
      <c r="H258" s="8" t="str">
        <f t="shared" si="1"/>
        <v>12_diciembre</v>
      </c>
      <c r="I258" s="15" t="s">
        <v>16</v>
      </c>
      <c r="J258" s="10" t="str">
        <f t="shared" si="2"/>
        <v>2_martes</v>
      </c>
    </row>
    <row r="259" ht="22.5" customHeight="1">
      <c r="A259" s="11">
        <v>46015.0</v>
      </c>
      <c r="B259" s="12" t="s">
        <v>26</v>
      </c>
      <c r="C259" s="12" t="s">
        <v>9</v>
      </c>
      <c r="D259" s="13">
        <v>28.0</v>
      </c>
      <c r="E259" s="12" t="s">
        <v>22</v>
      </c>
      <c r="F259" s="12" t="s">
        <v>15</v>
      </c>
      <c r="G259" s="12" t="s">
        <v>38</v>
      </c>
      <c r="H259" s="8" t="str">
        <f t="shared" si="1"/>
        <v>12_diciembre</v>
      </c>
      <c r="I259" s="14" t="s">
        <v>18</v>
      </c>
      <c r="J259" s="10" t="str">
        <f t="shared" si="2"/>
        <v>3_miércoles</v>
      </c>
    </row>
    <row r="260" ht="22.5" customHeight="1">
      <c r="A260" s="5">
        <v>46017.0</v>
      </c>
      <c r="B260" s="6" t="s">
        <v>8</v>
      </c>
      <c r="C260" s="6" t="s">
        <v>9</v>
      </c>
      <c r="D260" s="7">
        <v>14.0</v>
      </c>
      <c r="E260" s="6" t="s">
        <v>10</v>
      </c>
      <c r="F260" s="6" t="s">
        <v>11</v>
      </c>
      <c r="G260" s="6" t="s">
        <v>38</v>
      </c>
      <c r="H260" s="8" t="str">
        <f t="shared" si="1"/>
        <v>12_diciembre</v>
      </c>
      <c r="I260" s="15" t="s">
        <v>20</v>
      </c>
      <c r="J260" s="10" t="str">
        <f t="shared" si="2"/>
        <v>5_viernes</v>
      </c>
    </row>
    <row r="261" ht="22.5" customHeight="1">
      <c r="A261" s="11">
        <v>46019.0</v>
      </c>
      <c r="B261" s="12" t="s">
        <v>8</v>
      </c>
      <c r="C261" s="12" t="s">
        <v>24</v>
      </c>
      <c r="D261" s="13">
        <v>15.0</v>
      </c>
      <c r="E261" s="12" t="s">
        <v>10</v>
      </c>
      <c r="F261" s="12" t="s">
        <v>11</v>
      </c>
      <c r="G261" s="12" t="s">
        <v>38</v>
      </c>
      <c r="H261" s="8" t="str">
        <f t="shared" si="1"/>
        <v>12_diciembre</v>
      </c>
      <c r="I261" s="14" t="s">
        <v>13</v>
      </c>
      <c r="J261" s="10" t="str">
        <f t="shared" si="2"/>
        <v>7_domingo</v>
      </c>
    </row>
    <row r="262" ht="22.5" customHeight="1">
      <c r="A262" s="35">
        <v>46021.0</v>
      </c>
      <c r="B262" s="36" t="s">
        <v>17</v>
      </c>
      <c r="C262" s="36" t="s">
        <v>9</v>
      </c>
      <c r="D262" s="37">
        <v>10.0</v>
      </c>
      <c r="E262" s="36" t="s">
        <v>10</v>
      </c>
      <c r="F262" s="36" t="s">
        <v>15</v>
      </c>
      <c r="G262" s="36" t="s">
        <v>38</v>
      </c>
      <c r="H262" s="38" t="str">
        <f t="shared" si="1"/>
        <v>12_diciembre</v>
      </c>
      <c r="I262" s="39" t="s">
        <v>16</v>
      </c>
      <c r="J262" s="10" t="str">
        <f t="shared" si="2"/>
        <v>2_martes</v>
      </c>
    </row>
  </sheetData>
  <conditionalFormatting sqref="M5:M11">
    <cfRule type="expression" dxfId="6" priority="1">
      <formula>M5=MAX($M$5:$M$11)</formula>
    </cfRule>
  </conditionalFormatting>
  <conditionalFormatting sqref="M5:M11">
    <cfRule type="expression" dxfId="7" priority="2">
      <formula>M5=MIN($M$5:$M$11)</formula>
    </cfRule>
  </conditionalFormatting>
  <conditionalFormatting sqref="M22:M28">
    <cfRule type="expression" dxfId="6" priority="3">
      <formula>M22=MAX($M$22:$M$28)</formula>
    </cfRule>
  </conditionalFormatting>
  <conditionalFormatting sqref="M22:M28">
    <cfRule type="expression" dxfId="7" priority="4">
      <formula>M22=MIN($M$22:$M$28)</formula>
    </cfRule>
  </conditionalFormatting>
  <conditionalFormatting sqref="M32:M43">
    <cfRule type="expression" dxfId="6" priority="5">
      <formula>M32=MAX($M$32:$M$43)</formula>
    </cfRule>
  </conditionalFormatting>
  <conditionalFormatting sqref="M32:M43">
    <cfRule type="expression" dxfId="7" priority="6">
      <formula>M32=MIN($M$32:$M$43)</formula>
    </cfRule>
  </conditionalFormatting>
  <conditionalFormatting sqref="N32:N43">
    <cfRule type="expression" dxfId="6" priority="7">
      <formula>N32=MAX($N$32:$N$43)</formula>
    </cfRule>
  </conditionalFormatting>
  <conditionalFormatting sqref="N32:N43">
    <cfRule type="expression" dxfId="7" priority="8">
      <formula>N32=MIN($N$32:$N$43)</formula>
    </cfRule>
  </conditionalFormatting>
  <conditionalFormatting sqref="O32:O43">
    <cfRule type="expression" dxfId="6" priority="9">
      <formula>O32=MAX($O$32:$O$43)</formula>
    </cfRule>
  </conditionalFormatting>
  <conditionalFormatting sqref="O32:O43">
    <cfRule type="expression" dxfId="7" priority="10">
      <formula>O32=MIN($O$32:$O$43)</formula>
    </cfRule>
  </conditionalFormatting>
  <conditionalFormatting sqref="M49:M55">
    <cfRule type="expression" dxfId="6" priority="11">
      <formula>M49=MAX($M$49:$M$55)</formula>
    </cfRule>
  </conditionalFormatting>
  <conditionalFormatting sqref="N60:T71">
    <cfRule type="expression" dxfId="6" priority="12">
      <formula>N60=MAX($N$60:$T$71)</formula>
    </cfRule>
  </conditionalFormatting>
  <conditionalFormatting sqref="N60:T71">
    <cfRule type="expression" dxfId="8" priority="13">
      <formula>N60=MIN($N$60:$T$71)</formula>
    </cfRule>
  </conditionalFormatting>
  <dataValidations>
    <dataValidation type="custom" allowBlank="1" showDropDown="1" sqref="A2:A262">
      <formula1>OR(NOT(ISERROR(DATEVALUE(A2))), AND(ISNUMBER(A2), LEFT(CELL("format", A2))="D"))</formula1>
    </dataValidation>
    <dataValidation type="custom" allowBlank="1" showDropDown="1" sqref="N5:N14 N22:N28 M49:O57 M60:T71">
      <formula1>AND(ISNUMBER(M5),(NOT(OR(NOT(ISERROR(DATEVALUE(M5))), AND(ISNUMBER(M5), LEFT(CELL("format", M5))="D")))))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93</v>
      </c>
    </row>
    <row r="62">
      <c r="B62" s="1" t="s">
        <v>94</v>
      </c>
    </row>
    <row r="63">
      <c r="B63" s="1" t="s">
        <v>95</v>
      </c>
      <c r="C63" s="1" t="s">
        <v>96</v>
      </c>
      <c r="D63" s="1" t="s">
        <v>97</v>
      </c>
      <c r="E63" s="1" t="s">
        <v>98</v>
      </c>
      <c r="F63" s="1" t="s">
        <v>99</v>
      </c>
      <c r="G63" s="1" t="s">
        <v>100</v>
      </c>
      <c r="H63" s="1" t="s">
        <v>101</v>
      </c>
      <c r="I63" s="1" t="s">
        <v>102</v>
      </c>
      <c r="J63" s="1" t="s">
        <v>103</v>
      </c>
      <c r="K63" s="1" t="s">
        <v>104</v>
      </c>
      <c r="L63" s="1" t="s">
        <v>105</v>
      </c>
      <c r="M63" s="1" t="s">
        <v>106</v>
      </c>
      <c r="N63" s="1" t="s">
        <v>107</v>
      </c>
    </row>
    <row r="64">
      <c r="B64" s="1" t="s">
        <v>108</v>
      </c>
      <c r="C64" s="40">
        <f t="shared" ref="C64:N64" si="1">COUNTIFS(Tabla!$H$2:$H$262,C$63,Tabla!$J$2:$J$262,$B64,Tabla!$F$2:$F$262,"mañana")</f>
        <v>0</v>
      </c>
      <c r="D64" s="40">
        <f t="shared" si="1"/>
        <v>0</v>
      </c>
      <c r="E64" s="40">
        <f t="shared" si="1"/>
        <v>0</v>
      </c>
      <c r="F64" s="40">
        <f t="shared" si="1"/>
        <v>0</v>
      </c>
      <c r="G64" s="40">
        <f t="shared" si="1"/>
        <v>0</v>
      </c>
      <c r="H64" s="40">
        <f t="shared" si="1"/>
        <v>0</v>
      </c>
      <c r="I64" s="40">
        <f t="shared" si="1"/>
        <v>0</v>
      </c>
      <c r="J64" s="40">
        <f t="shared" si="1"/>
        <v>0</v>
      </c>
      <c r="K64" s="40">
        <f t="shared" si="1"/>
        <v>0</v>
      </c>
      <c r="L64" s="40">
        <f t="shared" si="1"/>
        <v>0</v>
      </c>
      <c r="M64" s="40">
        <f t="shared" si="1"/>
        <v>0</v>
      </c>
      <c r="N64" s="40">
        <f t="shared" si="1"/>
        <v>0</v>
      </c>
    </row>
    <row r="65">
      <c r="B65" s="1" t="s">
        <v>109</v>
      </c>
      <c r="C65" s="40">
        <f t="shared" ref="C65:N65" si="2">COUNTIFS(Tabla!$H$2:$H$262,C$63,Tabla!$J$2:$J$262,$B65,Tabla!$F$2:$F$262,"mañana")</f>
        <v>0</v>
      </c>
      <c r="D65" s="40">
        <f t="shared" si="2"/>
        <v>0</v>
      </c>
      <c r="E65" s="40">
        <f t="shared" si="2"/>
        <v>0</v>
      </c>
      <c r="F65" s="40">
        <f t="shared" si="2"/>
        <v>0</v>
      </c>
      <c r="G65" s="40">
        <f t="shared" si="2"/>
        <v>0</v>
      </c>
      <c r="H65" s="40">
        <f t="shared" si="2"/>
        <v>0</v>
      </c>
      <c r="I65" s="40">
        <f t="shared" si="2"/>
        <v>0</v>
      </c>
      <c r="J65" s="40">
        <f t="shared" si="2"/>
        <v>0</v>
      </c>
      <c r="K65" s="40">
        <f t="shared" si="2"/>
        <v>0</v>
      </c>
      <c r="L65" s="40">
        <f t="shared" si="2"/>
        <v>0</v>
      </c>
      <c r="M65" s="40">
        <f t="shared" si="2"/>
        <v>0</v>
      </c>
      <c r="N65" s="40">
        <f t="shared" si="2"/>
        <v>0</v>
      </c>
    </row>
    <row r="66">
      <c r="B66" s="1" t="s">
        <v>110</v>
      </c>
      <c r="C66" s="40">
        <f t="shared" ref="C66:N66" si="3">COUNTIFS(Tabla!$H$2:$H$262,C$63,Tabla!$J$2:$J$262,$B66,Tabla!$F$2:$F$262,"mañana")</f>
        <v>0</v>
      </c>
      <c r="D66" s="40">
        <f t="shared" si="3"/>
        <v>0</v>
      </c>
      <c r="E66" s="40">
        <f t="shared" si="3"/>
        <v>0</v>
      </c>
      <c r="F66" s="40">
        <f t="shared" si="3"/>
        <v>0</v>
      </c>
      <c r="G66" s="40">
        <f t="shared" si="3"/>
        <v>0</v>
      </c>
      <c r="H66" s="40">
        <f t="shared" si="3"/>
        <v>0</v>
      </c>
      <c r="I66" s="40">
        <f t="shared" si="3"/>
        <v>0</v>
      </c>
      <c r="J66" s="40">
        <f t="shared" si="3"/>
        <v>0</v>
      </c>
      <c r="K66" s="40">
        <f t="shared" si="3"/>
        <v>0</v>
      </c>
      <c r="L66" s="40">
        <f t="shared" si="3"/>
        <v>0</v>
      </c>
      <c r="M66" s="40">
        <f t="shared" si="3"/>
        <v>0</v>
      </c>
      <c r="N66" s="40">
        <f t="shared" si="3"/>
        <v>0</v>
      </c>
    </row>
    <row r="67">
      <c r="B67" s="1" t="s">
        <v>111</v>
      </c>
      <c r="C67" s="40">
        <f t="shared" ref="C67:N67" si="4">COUNTIFS(Tabla!$H$2:$H$262,C$63,Tabla!$J$2:$J$262,$B67,Tabla!$F$2:$F$262,"mañana")</f>
        <v>0</v>
      </c>
      <c r="D67" s="40">
        <f t="shared" si="4"/>
        <v>0</v>
      </c>
      <c r="E67" s="40">
        <f t="shared" si="4"/>
        <v>0</v>
      </c>
      <c r="F67" s="40">
        <f t="shared" si="4"/>
        <v>0</v>
      </c>
      <c r="G67" s="40">
        <f t="shared" si="4"/>
        <v>0</v>
      </c>
      <c r="H67" s="40">
        <f t="shared" si="4"/>
        <v>0</v>
      </c>
      <c r="I67" s="40">
        <f t="shared" si="4"/>
        <v>0</v>
      </c>
      <c r="J67" s="40">
        <f t="shared" si="4"/>
        <v>0</v>
      </c>
      <c r="K67" s="40">
        <f t="shared" si="4"/>
        <v>0</v>
      </c>
      <c r="L67" s="40">
        <f t="shared" si="4"/>
        <v>0</v>
      </c>
      <c r="M67" s="40">
        <f t="shared" si="4"/>
        <v>0</v>
      </c>
      <c r="N67" s="40">
        <f t="shared" si="4"/>
        <v>0</v>
      </c>
    </row>
    <row r="68">
      <c r="B68" s="1" t="s">
        <v>112</v>
      </c>
      <c r="C68" s="40">
        <f t="shared" ref="C68:N68" si="5">COUNTIFS(Tabla!$H$2:$H$262,C$63,Tabla!$J$2:$J$262,$B68,Tabla!$F$2:$F$262,"mañana")</f>
        <v>0</v>
      </c>
      <c r="D68" s="40">
        <f t="shared" si="5"/>
        <v>0</v>
      </c>
      <c r="E68" s="40">
        <f t="shared" si="5"/>
        <v>0</v>
      </c>
      <c r="F68" s="40">
        <f t="shared" si="5"/>
        <v>0</v>
      </c>
      <c r="G68" s="40">
        <f t="shared" si="5"/>
        <v>0</v>
      </c>
      <c r="H68" s="40">
        <f t="shared" si="5"/>
        <v>0</v>
      </c>
      <c r="I68" s="40">
        <f t="shared" si="5"/>
        <v>0</v>
      </c>
      <c r="J68" s="40">
        <f t="shared" si="5"/>
        <v>0</v>
      </c>
      <c r="K68" s="40">
        <f t="shared" si="5"/>
        <v>0</v>
      </c>
      <c r="L68" s="40">
        <f t="shared" si="5"/>
        <v>0</v>
      </c>
      <c r="M68" s="40">
        <f t="shared" si="5"/>
        <v>0</v>
      </c>
      <c r="N68" s="40">
        <f t="shared" si="5"/>
        <v>0</v>
      </c>
    </row>
    <row r="69">
      <c r="B69" s="1" t="s">
        <v>113</v>
      </c>
      <c r="C69" s="40">
        <f t="shared" ref="C69:N69" si="6">COUNTIFS(Tabla!$H$2:$H$262,C$63,Tabla!$J$2:$J$262,$B69,Tabla!$F$2:$F$262,"mañana")</f>
        <v>0</v>
      </c>
      <c r="D69" s="40">
        <f t="shared" si="6"/>
        <v>0</v>
      </c>
      <c r="E69" s="40">
        <f t="shared" si="6"/>
        <v>0</v>
      </c>
      <c r="F69" s="40">
        <f t="shared" si="6"/>
        <v>0</v>
      </c>
      <c r="G69" s="40">
        <f t="shared" si="6"/>
        <v>0</v>
      </c>
      <c r="H69" s="40">
        <f t="shared" si="6"/>
        <v>0</v>
      </c>
      <c r="I69" s="40">
        <f t="shared" si="6"/>
        <v>0</v>
      </c>
      <c r="J69" s="40">
        <f t="shared" si="6"/>
        <v>0</v>
      </c>
      <c r="K69" s="40">
        <f t="shared" si="6"/>
        <v>0</v>
      </c>
      <c r="L69" s="40">
        <f t="shared" si="6"/>
        <v>0</v>
      </c>
      <c r="M69" s="40">
        <f t="shared" si="6"/>
        <v>0</v>
      </c>
      <c r="N69" s="40">
        <f t="shared" si="6"/>
        <v>0</v>
      </c>
    </row>
    <row r="70">
      <c r="B70" s="1" t="s">
        <v>114</v>
      </c>
      <c r="C70" s="40">
        <f t="shared" ref="C70:N70" si="7">COUNTIFS(Tabla!$H$2:$H$262,C$63,Tabla!$J$2:$J$262,$B70,Tabla!$F$2:$F$262,"mañana")</f>
        <v>0</v>
      </c>
      <c r="D70" s="40">
        <f t="shared" si="7"/>
        <v>0</v>
      </c>
      <c r="E70" s="40">
        <f t="shared" si="7"/>
        <v>0</v>
      </c>
      <c r="F70" s="40">
        <f t="shared" si="7"/>
        <v>0</v>
      </c>
      <c r="G70" s="40">
        <f t="shared" si="7"/>
        <v>0</v>
      </c>
      <c r="H70" s="40">
        <f t="shared" si="7"/>
        <v>0</v>
      </c>
      <c r="I70" s="40">
        <f t="shared" si="7"/>
        <v>0</v>
      </c>
      <c r="J70" s="40">
        <f t="shared" si="7"/>
        <v>0</v>
      </c>
      <c r="K70" s="40">
        <f t="shared" si="7"/>
        <v>0</v>
      </c>
      <c r="L70" s="40">
        <f t="shared" si="7"/>
        <v>0</v>
      </c>
      <c r="M70" s="40">
        <f t="shared" si="7"/>
        <v>0</v>
      </c>
      <c r="N70" s="40">
        <f t="shared" si="7"/>
        <v>0</v>
      </c>
    </row>
    <row r="74">
      <c r="B74" s="1" t="s">
        <v>115</v>
      </c>
    </row>
    <row r="75">
      <c r="B75" s="1" t="s">
        <v>95</v>
      </c>
      <c r="C75" s="1" t="s">
        <v>96</v>
      </c>
      <c r="D75" s="1" t="s">
        <v>97</v>
      </c>
      <c r="E75" s="1" t="s">
        <v>98</v>
      </c>
      <c r="F75" s="1" t="s">
        <v>99</v>
      </c>
      <c r="G75" s="1" t="s">
        <v>100</v>
      </c>
      <c r="H75" s="1" t="s">
        <v>101</v>
      </c>
      <c r="I75" s="1" t="s">
        <v>102</v>
      </c>
      <c r="J75" s="1" t="s">
        <v>103</v>
      </c>
      <c r="K75" s="1" t="s">
        <v>104</v>
      </c>
      <c r="L75" s="1" t="s">
        <v>105</v>
      </c>
      <c r="M75" s="1" t="s">
        <v>106</v>
      </c>
      <c r="N75" s="1" t="s">
        <v>107</v>
      </c>
    </row>
    <row r="76">
      <c r="B76" s="1" t="s">
        <v>108</v>
      </c>
      <c r="C76" s="40">
        <f t="shared" ref="C76:N76" si="8">COUNTIFS(#REF!,C$63,#REF!,$B76,#REF!,"tarde")</f>
        <v>0</v>
      </c>
      <c r="D76" s="40">
        <f t="shared" si="8"/>
        <v>0</v>
      </c>
      <c r="E76" s="40">
        <f t="shared" si="8"/>
        <v>0</v>
      </c>
      <c r="F76" s="40">
        <f t="shared" si="8"/>
        <v>0</v>
      </c>
      <c r="G76" s="40">
        <f t="shared" si="8"/>
        <v>0</v>
      </c>
      <c r="H76" s="40">
        <f t="shared" si="8"/>
        <v>0</v>
      </c>
      <c r="I76" s="40">
        <f t="shared" si="8"/>
        <v>0</v>
      </c>
      <c r="J76" s="40">
        <f t="shared" si="8"/>
        <v>0</v>
      </c>
      <c r="K76" s="40">
        <f t="shared" si="8"/>
        <v>0</v>
      </c>
      <c r="L76" s="40">
        <f t="shared" si="8"/>
        <v>0</v>
      </c>
      <c r="M76" s="40">
        <f t="shared" si="8"/>
        <v>0</v>
      </c>
      <c r="N76" s="40">
        <f t="shared" si="8"/>
        <v>0</v>
      </c>
    </row>
    <row r="77">
      <c r="B77" s="1" t="s">
        <v>109</v>
      </c>
      <c r="C77" s="40">
        <f t="shared" ref="C77:N77" si="9">COUNTIFS(#REF!,C$63,#REF!,$B77,#REF!,"tarde")</f>
        <v>0</v>
      </c>
      <c r="D77" s="40">
        <f t="shared" si="9"/>
        <v>0</v>
      </c>
      <c r="E77" s="40">
        <f t="shared" si="9"/>
        <v>0</v>
      </c>
      <c r="F77" s="40">
        <f t="shared" si="9"/>
        <v>0</v>
      </c>
      <c r="G77" s="40">
        <f t="shared" si="9"/>
        <v>0</v>
      </c>
      <c r="H77" s="40">
        <f t="shared" si="9"/>
        <v>0</v>
      </c>
      <c r="I77" s="40">
        <f t="shared" si="9"/>
        <v>0</v>
      </c>
      <c r="J77" s="40">
        <f t="shared" si="9"/>
        <v>0</v>
      </c>
      <c r="K77" s="40">
        <f t="shared" si="9"/>
        <v>0</v>
      </c>
      <c r="L77" s="40">
        <f t="shared" si="9"/>
        <v>0</v>
      </c>
      <c r="M77" s="40">
        <f t="shared" si="9"/>
        <v>0</v>
      </c>
      <c r="N77" s="40">
        <f t="shared" si="9"/>
        <v>0</v>
      </c>
    </row>
    <row r="78">
      <c r="B78" s="1" t="s">
        <v>110</v>
      </c>
      <c r="C78" s="40">
        <f t="shared" ref="C78:N78" si="10">COUNTIFS(#REF!,C$63,#REF!,$B78,#REF!,"tarde")</f>
        <v>0</v>
      </c>
      <c r="D78" s="40">
        <f t="shared" si="10"/>
        <v>0</v>
      </c>
      <c r="E78" s="40">
        <f t="shared" si="10"/>
        <v>0</v>
      </c>
      <c r="F78" s="40">
        <f t="shared" si="10"/>
        <v>0</v>
      </c>
      <c r="G78" s="40">
        <f t="shared" si="10"/>
        <v>0</v>
      </c>
      <c r="H78" s="40">
        <f t="shared" si="10"/>
        <v>0</v>
      </c>
      <c r="I78" s="40">
        <f t="shared" si="10"/>
        <v>0</v>
      </c>
      <c r="J78" s="40">
        <f t="shared" si="10"/>
        <v>0</v>
      </c>
      <c r="K78" s="40">
        <f t="shared" si="10"/>
        <v>0</v>
      </c>
      <c r="L78" s="40">
        <f t="shared" si="10"/>
        <v>0</v>
      </c>
      <c r="M78" s="40">
        <f t="shared" si="10"/>
        <v>0</v>
      </c>
      <c r="N78" s="40">
        <f t="shared" si="10"/>
        <v>0</v>
      </c>
    </row>
    <row r="79">
      <c r="B79" s="1" t="s">
        <v>111</v>
      </c>
      <c r="C79" s="40">
        <f t="shared" ref="C79:N79" si="11">COUNTIFS(#REF!,C$63,#REF!,$B79,#REF!,"tarde")</f>
        <v>0</v>
      </c>
      <c r="D79" s="40">
        <f t="shared" si="11"/>
        <v>0</v>
      </c>
      <c r="E79" s="40">
        <f t="shared" si="11"/>
        <v>0</v>
      </c>
      <c r="F79" s="40">
        <f t="shared" si="11"/>
        <v>0</v>
      </c>
      <c r="G79" s="40">
        <f t="shared" si="11"/>
        <v>0</v>
      </c>
      <c r="H79" s="40">
        <f t="shared" si="11"/>
        <v>0</v>
      </c>
      <c r="I79" s="40">
        <f t="shared" si="11"/>
        <v>0</v>
      </c>
      <c r="J79" s="40">
        <f t="shared" si="11"/>
        <v>0</v>
      </c>
      <c r="K79" s="40">
        <f t="shared" si="11"/>
        <v>0</v>
      </c>
      <c r="L79" s="40">
        <f t="shared" si="11"/>
        <v>0</v>
      </c>
      <c r="M79" s="40">
        <f t="shared" si="11"/>
        <v>0</v>
      </c>
      <c r="N79" s="40">
        <f t="shared" si="11"/>
        <v>0</v>
      </c>
    </row>
    <row r="80">
      <c r="B80" s="1" t="s">
        <v>112</v>
      </c>
      <c r="C80" s="40">
        <f t="shared" ref="C80:N80" si="12">COUNTIFS(#REF!,C$63,#REF!,$B80,#REF!,"tarde")</f>
        <v>0</v>
      </c>
      <c r="D80" s="40">
        <f t="shared" si="12"/>
        <v>0</v>
      </c>
      <c r="E80" s="40">
        <f t="shared" si="12"/>
        <v>0</v>
      </c>
      <c r="F80" s="40">
        <f t="shared" si="12"/>
        <v>0</v>
      </c>
      <c r="G80" s="40">
        <f t="shared" si="12"/>
        <v>0</v>
      </c>
      <c r="H80" s="40">
        <f t="shared" si="12"/>
        <v>0</v>
      </c>
      <c r="I80" s="40">
        <f t="shared" si="12"/>
        <v>0</v>
      </c>
      <c r="J80" s="40">
        <f t="shared" si="12"/>
        <v>0</v>
      </c>
      <c r="K80" s="40">
        <f t="shared" si="12"/>
        <v>0</v>
      </c>
      <c r="L80" s="40">
        <f t="shared" si="12"/>
        <v>0</v>
      </c>
      <c r="M80" s="40">
        <f t="shared" si="12"/>
        <v>0</v>
      </c>
      <c r="N80" s="40">
        <f t="shared" si="12"/>
        <v>0</v>
      </c>
    </row>
    <row r="81">
      <c r="B81" s="1" t="s">
        <v>113</v>
      </c>
      <c r="C81" s="40">
        <f t="shared" ref="C81:N81" si="13">COUNTIFS(#REF!,C$63,#REF!,$B81,#REF!,"tarde")</f>
        <v>0</v>
      </c>
      <c r="D81" s="40">
        <f t="shared" si="13"/>
        <v>0</v>
      </c>
      <c r="E81" s="40">
        <f t="shared" si="13"/>
        <v>0</v>
      </c>
      <c r="F81" s="40">
        <f t="shared" si="13"/>
        <v>0</v>
      </c>
      <c r="G81" s="40">
        <f t="shared" si="13"/>
        <v>0</v>
      </c>
      <c r="H81" s="40">
        <f t="shared" si="13"/>
        <v>0</v>
      </c>
      <c r="I81" s="40">
        <f t="shared" si="13"/>
        <v>0</v>
      </c>
      <c r="J81" s="40">
        <f t="shared" si="13"/>
        <v>0</v>
      </c>
      <c r="K81" s="40">
        <f t="shared" si="13"/>
        <v>0</v>
      </c>
      <c r="L81" s="40">
        <f t="shared" si="13"/>
        <v>0</v>
      </c>
      <c r="M81" s="40">
        <f t="shared" si="13"/>
        <v>0</v>
      </c>
      <c r="N81" s="40">
        <f t="shared" si="13"/>
        <v>0</v>
      </c>
    </row>
    <row r="82">
      <c r="B82" s="1" t="s">
        <v>114</v>
      </c>
      <c r="C82" s="40">
        <f t="shared" ref="C82:N82" si="14">COUNTIFS(#REF!,C$63,#REF!,$B82,#REF!,"tarde")</f>
        <v>0</v>
      </c>
      <c r="D82" s="40">
        <f t="shared" si="14"/>
        <v>0</v>
      </c>
      <c r="E82" s="40">
        <f t="shared" si="14"/>
        <v>0</v>
      </c>
      <c r="F82" s="40">
        <f t="shared" si="14"/>
        <v>0</v>
      </c>
      <c r="G82" s="40">
        <f t="shared" si="14"/>
        <v>0</v>
      </c>
      <c r="H82" s="40">
        <f t="shared" si="14"/>
        <v>0</v>
      </c>
      <c r="I82" s="40">
        <f t="shared" si="14"/>
        <v>0</v>
      </c>
      <c r="J82" s="40">
        <f t="shared" si="14"/>
        <v>0</v>
      </c>
      <c r="K82" s="40">
        <f t="shared" si="14"/>
        <v>0</v>
      </c>
      <c r="L82" s="40">
        <f t="shared" si="14"/>
        <v>0</v>
      </c>
      <c r="M82" s="40">
        <f t="shared" si="14"/>
        <v>0</v>
      </c>
      <c r="N82" s="40">
        <f t="shared" si="14"/>
        <v>0</v>
      </c>
    </row>
    <row r="85">
      <c r="C85" s="1" t="s">
        <v>116</v>
      </c>
    </row>
    <row r="86">
      <c r="C86" s="1" t="s">
        <v>117</v>
      </c>
    </row>
    <row r="87">
      <c r="C87" s="1" t="s">
        <v>118</v>
      </c>
    </row>
    <row r="90">
      <c r="C90" s="1" t="s">
        <v>119</v>
      </c>
    </row>
  </sheetData>
  <conditionalFormatting sqref="B63:N70 B75:B89 C75:C84 D75:N89 C86:C89 B94:N101">
    <cfRule type="cellIs" dxfId="9" priority="1" operator="equal">
      <formula>0</formula>
    </cfRule>
  </conditionalFormatting>
  <conditionalFormatting sqref="B63:N70 B75:B89 C75:C84 D75:N89 C86:C89 B94:N101">
    <cfRule type="colorScale" priority="2">
      <colorScale>
        <cfvo type="min"/>
        <cfvo type="max"/>
        <color rgb="FFFFFFFF"/>
        <color rgb="FF57BB8A"/>
      </colorScale>
    </cfRule>
  </conditionalFormatting>
  <conditionalFormatting sqref="B63:B70 B75:B89 B94:B101">
    <cfRule type="notContainsBlanks" dxfId="10" priority="3">
      <formula>LEN(TRIM(B63))&gt;0</formula>
    </cfRule>
  </conditionalFormatting>
  <conditionalFormatting sqref="C63:N63 C75:N75">
    <cfRule type="notContainsBlanks" dxfId="10" priority="4">
      <formula>LEN(TRIM(C63))&gt;0</formula>
    </cfRule>
  </conditionalFormatting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